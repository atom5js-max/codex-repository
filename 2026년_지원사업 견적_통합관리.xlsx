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tom5\Desktop\codex storage\"/>
    </mc:Choice>
  </mc:AlternateContent>
  <x:bookViews>
    <x:workbookView xWindow="0" yWindow="0" windowWidth="18980" windowHeight="7920" tabRatio="713" activeTab="1"/>
  </x:bookViews>
  <x:sheets>
    <x:sheet name="① 대시보드" sheetId="1" r:id="rId4"/>
    <x:sheet name="② 견적리스트" sheetId="2" r:id="rId5"/>
    <x:sheet name="③ 수주·수금 현황" sheetId="3" r:id="rId6"/>
    <x:sheet name="④ 업체별 상세" sheetId="4" r:id="rId7"/>
    <x:sheet name="⑤ 을화 염료조제 내역" sheetId="5" r:id="rId8"/>
    <x:sheet name="⑥ 안내" sheetId="6" r:id="rId9"/>
  </x:sheets>
  <x:definedNames>
    <x:definedName name="_xlnm._FilterDatabase" localSheetId="1" hidden="1">'② 견적리스트'!$A$4:$Z$54</x:definedName>
    <x:definedName name="_xlnm._FilterDatabase" localSheetId="2" hidden="1">'③ 수주·수금 현황'!$A$3:$L$53</x:definedName>
  </x:definedNames>
  <x:calcPr xmlns:mc="http://schemas.openxmlformats.org/markup-compatibility/2006" xmlns:hs="http://schemas.haansoft.com/office/spreadsheet/8.0" iterateDelta="0.0001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<x:sst xmlns:r="http://schemas.openxmlformats.org/officeDocument/2006/relationships" xmlns:c="http://schemas.openxmlformats.org/drawingml/2006/chart" xmlns:x="http://schemas.openxmlformats.org/spreadsheetml/2006/main" count="912" uniqueCount="267">
  <x:si>
    <x:t xml:space="preserve"> 화학안전 사업장 조성</x:t>
  </x:si>
  <x:si>
    <x:t>담당자</x:t>
  </x:si>
  <x:si>
    <x:t>견적일</x:t>
  </x:si>
  <x:si>
    <x:t>수금액</x:t>
  </x:si>
  <x:si>
    <x:t>미수금</x:t>
  </x:si>
  <x:si>
    <x:t>No</x:t>
  </x:si>
  <x:si>
    <x:t>공급사</x:t>
  </x:si>
  <x:si>
    <x:t>비중</x:t>
  </x:si>
  <x:si>
    <x:t>대기</x:t>
  </x:si>
  <x:si>
    <x:t>금액</x:t>
  </x:si>
  <x:si>
    <x:t xml:space="preserve">공정저탄소 </x:t>
  </x:si>
  <x:si>
    <x:t>공정저탄소</x:t>
  </x:si>
  <x:si>
    <x:t>파이프라인 뷰. 설치일정·선금·잔금·수금률 한눈에 보기 (② 참조)</x:t>
  </x:si>
  <x:si>
    <x:t>스팀/용수 유량계, 가스미터, 전력량계, 모니터링 프로그램, 케이블</x:t>
  </x:si>
  <x:si>
    <x:t>합계</x:t>
  </x:si>
  <x:si>
    <x:t>비고</x:t>
  </x:si>
  <x:si>
    <x:t>건수</x:t>
  </x:si>
  <x:si>
    <x:t>견적명</x:t>
  </x:si>
  <x:si>
    <x:t>※ 공급가액 = 부가세 별도 / 합계금액 = 공급가액+부가세 / 선금·잔금 비율의 합은 100% (기본값 50:50, 직접 수정 가능) / 진행상태 및 선금·잔금 상태는 드롭다운</x:t>
  </x:si>
  <x:si>
    <x:t>DCPM 프로그램, 염색기 제어반 11대, 485통신선, 모니터, 전용PC, 전선덕트</x:t>
  </x:si>
  <x:si>
    <x:t>가성소다·블랙염료 계량송출, 염색기 11대 DCPM, 로터리워셔, 텐터기, 스카챠</x:t>
  </x:si>
  <x:si>
    <x:t>No, 견적번호, 수요업체, 공급사, 견적일, 프로젝트유형, 견적명, 공급가액 입력</x:t>
  </x:si>
  <x:si>
    <x:t>KPI + 사업별·업체별·공급사별·프로젝트 유형별 집계 (모두 ②에서 자동 계산)</x:t>
  </x:si>
  <x:si>
    <x:t>터빈 가스미터(텐터기), 전력량계, 모니터링 프로그램, 통신/전원 케이블, 에너지 데이터 송수신 장치</x:t>
  </x:si>
  <x:si>
    <x:t>섬유 제조 자동화</x:t>
  </x:si>
  <x:si>
    <x:t>■ 수요업체별 요약</x:t>
  </x:si>
  <x:si>
    <x:t>■ 사업별 요약</x:t>
  </x:si>
  <x:si>
    <x:t>통합 모니터링 시스템</x:t>
  </x:si>
  <x:si>
    <x:t>수주 확정 건수</x:t>
  </x:si>
  <x:si>
    <x:t>스마트 생태공장</x:t>
  </x:si>
  <x:si>
    <x:t>2026-04-22</x:t>
  </x:si>
  <x:si>
    <x:t>진행상태, 설치일정, 선금/잔금 입금일/상태는 진행 경과에 따라 업데이트</x:t>
  </x:si>
  <x:si>
    <x:t>부가세 포함 총 96,800,000 / 제관공·용접공·조립공 인건비 포함</x:t>
  </x:si>
  <x:si>
    <x:t>메인 관리 시트. 사업구분·진행상태·설치일정·선금/잔금 관리 전부 여기서 입력</x:t>
  </x:si>
  <x:si>
    <x:t>(주)을화 비산공장 염료/조제 519M 세부 내역 (재료비·노무비 분해)</x:t>
  </x:si>
  <x:si>
    <x:t>(주)을화 비산공장 - 염료/조제 스마트제어시스템 세부 내역 (GS시스템)</x:t>
  </x:si>
  <x:si>
    <x:t>주설비 52M + 자동제어밸브 10M + 배관공사 5M + 현장설치 3M</x:t>
  </x:si>
  <x:si>
    <x:t>현재 5행~54행까지 50건 입력 가능. 그 이상은 수식 범위 확장 필요</x:t>
  </x:si>
  <x:si>
    <x:t>스마트 공정액 농도 자동제어 시스템(주설비), 자동제어밸브(약품 공급 제어), 배관공사, 현장설치 및 시운전</x:t>
  </x:si>
  <x:si>
    <x:t>최대규모 / 내역서 상세 / 세부 품목 내역 별도 시트 참조</x:t>
  </x:si>
  <x:si>
    <x:t>수요업체별 견적 상세 및 주요 품목 (비교용, 사업구분 포함)</x:t>
  </x:si>
  <x:si>
    <x:t>자동제어판넬, 가성소다 유량계, 화학용펌프, 용수펌프, Y밸브</x:t>
  </x:si>
  <x:si>
    <x:t>대시보드(①)·수주현황(③)은 자동 반영 (별도 수정 불필요)</x:t>
  </x:si>
  <x:si>
    <x:t>견적서 통합 리스트 (사업별 구분 / 선금·잔금·설치일정 관리)</x:t>
  </x:si>
  <x:si>
    <x:t>STS 30톤 저장탱크 / 부가세 포함 총 96,800,000</x:t>
  </x:si>
  <x:si>
    <x:t>자동제어판넬, 펌프, 유량계, 자동/수동 밸브, 배관 일식</x:t>
  </x:si>
  <x:si>
    <x:t>터빈 가스미터(텐터기), 전력량계(압출기·집진기), 모니터링 프로그램, 통신/전원 케이블 덕트</x:t>
  </x:si>
  <x:si>
    <x:t>VAT 포함 77,000,000 / 주설비 52M + 밸브 10M + 배관 5M + 설치 3M</x:t>
  </x:si>
  <x:si>
    <x:t>스팀 볼텍스 유량계, 용수 마그네틱 유량계, 전력량계(스티머·로터리날염기), 모니터링 프로그램</x:t>
  </x:si>
  <x:si>
    <x:t>② 시트 A열 셀에 새 사업명 입력 (드롭다운 외 값도 수용). 대시보드 사업별 요약에는 사업 카테고리별로 행을 추가해야 반영됨 (수식 복사)</x:t>
  </x:si>
  <x:si>
    <x:t>자동제어판넬, DCPM 프로그램, 염색기 제어반(11대), 가성소다 유량계, 블랙염료 계량송출, 화학용 펌프, 레벨 트랜스미터</x:t>
  </x:si>
  <x:si>
    <x:t>20260105-0001-02</x:t>
  </x:si>
  <x:si>
    <x:t>20260105-0001-03</x:t>
  </x:si>
  <x:si>
    <x:t>수요업체별 견적 상세 및 주요 품목</x:t>
  </x:si>
  <x:si>
    <x:t>약품 공급 라인, 공정액 농도 제어</x:t>
  </x:si>
  <x:si>
    <x:t>20260105-0001-05</x:t>
  </x:si>
  <x:si>
    <x:t>텐터기 가스·압출기·집진기 전력량계</x:t>
  </x:si>
  <x:si>
    <x:t>입금 완료 (수금 진행률에 반영)</x:t>
  </x:si>
  <x:si>
    <x:t>견적 발송 후 고객 검토 대기</x:t>
  </x:si>
  <x:si>
    <x:t>로터리날염기 스팀·용수 유량계</x:t>
  </x:si>
  <x:si>
    <x:t>20260105-0001-01</x:t>
  </x:si>
  <x:si>
    <x:t>■ 선금/잔금 상태 (4단계)</x:t>
  </x:si>
  <x:si>
    <x:t>20260316-0001-02</x:t>
  </x:si>
  <x:si>
    <x:t>20260105-0001-04</x:t>
  </x:si>
  <x:si>
    <x:t>예산 미확정 / 프로젝트 연기</x:t>
  </x:si>
  <x:si>
    <x:t>스마트 공정액 농도 자동제어 시스템</x:t>
  </x:si>
  <x:si>
    <x:t>세금계산서 발행 / 입금 대기</x:t>
  </x:si>
  <x:si>
    <x:t>20260316-0001-01</x:t>
  </x:si>
  <x:si>
    <x:t>염료/조제 스마트제어</x:t>
  </x:si>
  <x:si>
    <x:t>로터리날염기, 스티머</x:t>
  </x:si>
  <x:si>
    <x:t>대상 공정/설비</x:t>
  </x:si>
  <x:si>
    <x:t>재료비+노무비+경비</x:t>
  </x:si>
  <x:si>
    <x:t>타사 수주 / 무산</x:t>
  </x:si>
  <x:si>
    <x:t>공급가액 + 부가세</x:t>
  </x:si>
  <x:si>
    <x:t>주요 계측/설비 품목</x:t>
  </x:si>
  <x:si>
    <x:t>공급가액 × 10%</x:t>
  </x:si>
  <x:si>
    <x:t>기일 초과 / 미납</x:t>
  </x:si>
  <x:si>
    <x:t>DCPM 배선 인건비</x:t>
  </x:si>
  <x:si>
    <x:t>염색기 DCPM 파트</x:t>
  </x:si>
  <x:si>
    <x:t>③ 수주·수금 현황</x:t>
  </x:si>
  <x:si>
    <x:t>비중(재료비 기준)</x:t>
  </x:si>
  <x:si>
    <x:t>수금 진행률(전체)</x:t>
  </x:si>
  <x:si>
    <x:t>(주)을화 비산공장</x:t>
  </x:si>
  <x:si>
    <x:t>염색기 DCPM</x:t>
  </x:si>
  <x:si>
    <x:t>가성소다 송출 파트</x:t>
  </x:si>
  <x:si>
    <x:t>■ 공급사별 요약</x:t>
  </x:si>
  <x:si>
    <x:t>통신형 유량계 필수</x:t>
  </x:si>
  <x:si>
    <x:t>2026-03-16</x:t>
  </x:si>
  <x:si>
    <x:t>■ 노무비 상세</x:t>
  </x:si>
  <x:si>
    <x:t>공정액 농도 자동제어</x:t>
  </x:si>
  <x:si>
    <x:t>세부내역서 참조</x:t>
  </x:si>
  <x:si>
    <x:t>2026-01-05</x:t>
  </x:si>
  <x:si>
    <x:t>■ 내역 총괄표</x:t>
  </x:si>
  <x:si>
    <x:t>공정수 재활용 시스템</x:t>
  </x:si>
  <x:si>
    <x:t>2026-01-14</x:t>
  </x:si>
  <x:si>
    <x:t>■ 자동 계산 수식</x:t>
  </x:si>
  <x:si>
    <x:t>선금 비율(%)</x:t>
  </x:si>
  <x:si>
    <x:t>선금 금액(원)</x:t>
  </x:si>
  <x:si>
    <x:t>잔금 비율(%)</x:t>
  </x:si>
  <x:si>
    <x:t>모니터링 프로그램 외</x:t>
  </x:si>
  <x:si>
    <x:t>④ 업체별 상세</x:t>
  </x:si>
  <x:si>
    <x:t>현장 설치 진행 중</x:t>
  </x:si>
  <x:si>
    <x:t>조제 장치제작 인건비</x:t>
  </x:si>
  <x:si>
    <x:t>모니터링 시스템 제작</x:t>
  </x:si>
  <x:si>
    <x:t>잔금 금액(원)</x:t>
  </x:si>
  <x:si>
    <x:t>염료 장치제작 인건비</x:t>
  </x:si>
  <x:si>
    <x:t>청구 전 / 계약 후 대기</x:t>
  </x:si>
  <x:si>
    <x:t>파일 사용 안내 (v2)</x:t>
  </x:si>
  <x:si>
    <x:t>RO용수 마그네틱 유량계, 열교환온수회수·용수 마그네틱 유량계(2EA), 터빈 가스미터, 전력량계, 모니터링 프로그램</x:t>
  </x:si>
  <x:si>
    <x:t>STS 30톤 원형 저장탱크, Shell/Bottom/Top, 롤벤딩, 탱크지지 프레임, 80A 밸브(투입/배출/드레인/벤트), 외부사다리, 상부난간</x:t>
  </x:si>
  <x:si>
    <x:t>합계금액 × 선금 비율 (기본 50%, 수정 가능)</x:t>
  </x:si>
  <x:si>
    <x:t>용수·스팀 MODBUS-RTU 통신형 유량계 장착 필수</x:t>
  </x:si>
  <x:si>
    <x:t>공정액 농도 자동제어 2건 (대영염공, 벽진BIO텍)</x:t>
  </x:si>
  <x:si>
    <x:t>② 시트 A열 드롭다운에서 새 사업명 직접 입력 가능</x:t>
  </x:si>
  <x:si>
    <x:t>VAT 포함 77,000,000 / 대영염공과 동일 사양</x:t>
  </x:si>
  <x:si>
    <x:t>가성소다·블랙염료 / DCPM 11대 / 내역서 포함</x:t>
  </x:si>
  <x:si>
    <x:t>실주</x:t>
  </x:si>
  <x:si>
    <x:t>범위</x:t>
  </x:si>
  <x:si>
    <x:t>W열</x:t>
  </x:si>
  <x:si>
    <x:t>J열</x:t>
  </x:si>
  <x:si>
    <x:t>P열</x:t>
  </x:si>
  <x:si>
    <x:t>부가세</x:t>
  </x:si>
  <x:si>
    <x:t>수주</x:t>
  </x:si>
  <x:si>
    <x:t>오정수</x:t>
  </x:si>
  <x:si>
    <x:t>항목</x:t>
  </x:si>
  <x:si>
    <x:t>노무비</x:t>
  </x:si>
  <x:si>
    <x:t>수금</x:t>
  </x:si>
  <x:si>
    <x:t>연락처</x:t>
  </x:si>
  <x:si>
    <x:t>값</x:t>
  </x:si>
  <x:si>
    <x:t>오영정</x:t>
  </x:si>
  <x:si>
    <x:t>평균</x:t>
  </x:si>
  <x:si>
    <x:t>보류</x:t>
  </x:si>
  <x:si>
    <x:t>구분</x:t>
  </x:si>
  <x:si>
    <x:t>재료비</x:t>
  </x:si>
  <x:si>
    <x:t>경비</x:t>
  </x:si>
  <x:si>
    <x:t>현장</x:t>
  </x:si>
  <x:si>
    <x:t>S열</x:t>
  </x:si>
  <x:si>
    <x:t>운반비</x:t>
  </x:si>
  <x:si>
    <x:t>파트명</x:t>
  </x:si>
  <x:si>
    <x:t>연분홍</x:t>
  </x:si>
  <x:si>
    <x:t>텐터기</x:t>
  </x:si>
  <x:si>
    <x:t>3단계</x:t>
  </x:si>
  <x:si>
    <x:t>M/D</x:t>
  </x:si>
  <x:si>
    <x:t>연녹</x:t>
  </x:si>
  <x:si>
    <x:t>진행중</x:t>
  </x:si>
  <x:si>
    <x:t>비목</x:t>
  </x:si>
  <x:si>
    <x:t>수금률</x:t>
  </x:si>
  <x:si>
    <x:t>현재</x:t>
  </x:si>
  <x:si>
    <x:t/>
  </x:si>
  <x:si>
    <x:t>2단계</x:t>
  </x:si>
  <x:si>
    <x:t>청구</x:t>
  </x:si>
  <x:si>
    <x:t>5단계</x:t>
  </x:si>
  <x:si>
    <x:t>K열</x:t>
  </x:si>
  <x:si>
    <x:t>1단계</x:t>
  </x:si>
  <x:si>
    <x:t>완료</x:t>
  </x:si>
  <x:si>
    <x:t>설치중</x:t>
  </x:si>
  <x:si>
    <x:t>4단계</x:t>
  </x:si>
  <x:si>
    <x:t>T열</x:t>
  </x:si>
  <x:si>
    <x:t>노랑</x:t>
  </x:si>
  <x:si>
    <x:t>지연</x:t>
  </x:si>
  <x:si>
    <x:t>견적서 통합 관리 대시보드</x:t>
  </x:si>
  <x:si>
    <x:t>설치 완료 / 시운전 종료</x:t>
  </x:si>
  <x:si>
    <x:t>20260114-0001</x:t>
  </x:si>
  <x:si>
    <x:t>010-8857-0476</x:t>
  </x:si>
  <x:si>
    <x:t>010-2005-0476</x:t>
  </x:si>
  <x:si>
    <x:t>■ 주요 지표 (KPI)</x:t>
  </x:si>
  <x:si>
    <x:t>텐터기, 압출기, 집진기</x:t>
  </x:si>
  <x:si>
    <x:t>계약 체결, 발주 확정</x:t>
  </x:si>
  <x:si>
    <x:t>■ 프로젝트 유형별 요약</x:t>
  </x:si>
  <x:si>
    <x:t>■ 진행상태 범례 (7단계)</x:t>
  </x:si>
  <x:si>
    <x:t>합계금액 × 잔금 비율</x:t>
  </x:si>
  <x:si>
    <x:t>1 - 선금 비율 (자동)</x:t>
  </x:si>
  <x:si>
    <x:t>■ 파트별 재료비 구성</x:t>
  </x:si>
  <x:si>
    <x:t>■ 새 견적서 추가 방법</x:t>
  </x:si>
  <x:si>
    <x:t>블랙염료 계량송출 파트</x:t>
  </x:si>
  <x:si>
    <x:t>⑤ 을화 염료조제 내역</x:t>
  </x:si>
  <x:si>
    <x:t>염료,조제 스마트제어시스템</x:t>
  </x:si>
  <x:si>
    <x:t>가성소다 계량 송출파트</x:t>
  </x:si>
  <x:si>
    <x:t>■ 새 사업 카테고리 추가</x:t>
  </x:si>
  <x:si>
    <x:t>블랙염료 계량 송출파트</x:t>
  </x:si>
  <x:si>
    <x:t>총 합계금액(VAT포함)</x:t>
  </x:si>
  <x:si>
    <x:t>차량 5회 × 100,000</x:t>
  </x:si>
  <x:si>
    <x:t>수주 및 수금 현황 관리</x:t>
  </x:si>
  <x:si>
    <x:t>을화</x:t>
  </x:si>
  <x:si>
    <x:t>부성</x:t>
  </x:si>
  <x:si>
    <x:t>통합</x:t>
  </x:si>
  <x:si>
    <x:t>설치 종료일</x:t>
  </x:si>
  <x:si>
    <x:t>프로젝트 유형</x:t>
  </x:si>
  <x:si>
    <x:t>견적번호</x:t>
  </x:si>
  <x:si>
    <x:t>설치 시작일</x:t>
  </x:si>
  <x:si>
    <x:t>사업 구분</x:t>
  </x:si>
  <x:si>
    <x:t>잔금 상태</x:t>
  </x:si>
  <x:si>
    <x:t>총 공급가액</x:t>
  </x:si>
  <x:si>
    <x:t>우성염직</x:t>
  </x:si>
  <x:si>
    <x:t>수요업체</x:t>
  </x:si>
  <x:si>
    <x:t>신한염직</x:t>
  </x:si>
  <x:si>
    <x:t>진행 중 건수</x:t>
  </x:si>
  <x:si>
    <x:t>기본 정보</x:t>
  </x:si>
  <x:si>
    <x:t>선금 수금액</x:t>
  </x:si>
  <x:si>
    <x:t>한국에이스</x:t>
  </x:si>
  <x:si>
    <x:t>아이언텍</x:t>
  </x:si>
  <x:si>
    <x:t>선금 입금일</x:t>
  </x:si>
  <x:si>
    <x:t>진행상태</x:t>
  </x:si>
  <x:si>
    <x:t>잔금 입금일</x:t>
  </x:si>
  <x:si>
    <x:t>총 수금액</x:t>
  </x:si>
  <x:si>
    <x:t>평균 공급가액</x:t>
  </x:si>
  <x:si>
    <x:t>잔금 수금액</x:t>
  </x:si>
  <x:si>
    <x:t>잔금 관리</x:t>
  </x:si>
  <x:si>
    <x:t>선금 상태</x:t>
  </x:si>
  <x:si>
    <x:t>총 견적 건수</x:t>
  </x:si>
  <x:si>
    <x:t>수금 진행률</x:t>
  </x:si>
  <x:si>
    <x:t>잔금 비율</x:t>
  </x:si>
  <x:si>
    <x:t>진행/설치</x:t>
  </x:si>
  <x:si>
    <x:t>재료비 합계</x:t>
  </x:si>
  <x:si>
    <x:t>직접재료비</x:t>
  </x:si>
  <x:si>
    <x:t>원풍물산</x:t>
  </x:si>
  <x:si>
    <x:t>① 대시보드</x:t>
  </x:si>
  <x:si>
    <x:t>합계금액</x:t>
  </x:si>
  <x:si>
    <x:t>⑥ 안내</x:t>
  </x:si>
  <x:si>
    <x:t>총 합계금액</x:t>
  </x:si>
  <x:si>
    <x:t>■ 시트 구성</x:t>
  </x:si>
  <x:si>
    <x:t>담당/비고</x:t>
  </x:si>
  <x:si>
    <x:t>현장설치</x:t>
  </x:si>
  <x:si>
    <x:t>추가 방법</x:t>
  </x:si>
  <x:si>
    <x:t>공급가액(원)</x:t>
  </x:si>
  <x:si>
    <x:t>잔금 금액</x:t>
  </x:si>
  <x:si>
    <x:t>설치 시작</x:t>
  </x:si>
  <x:si>
    <x:t>대기 중 건수</x:t>
  </x:si>
  <x:si>
    <x:t>② 견적리스트</x:t>
  </x:si>
  <x:si>
    <x:t>세부 비목</x:t>
  </x:si>
  <x:si>
    <x:t>공정수 재활용</x:t>
  </x:si>
  <x:si>
    <x:t>수금완료</x:t>
  </x:si>
  <x:si>
    <x:t>부가세(원)</x:t>
  </x:si>
  <x:si>
    <x:t>직접노무비</x:t>
  </x:si>
  <x:si>
    <x:t>향후 추가</x:t>
  </x:si>
  <x:si>
    <x:t>선금 금액</x:t>
  </x:si>
  <x:si>
    <x:t>노무비 합계</x:t>
  </x:si>
  <x:si>
    <x:t>설치 종료</x:t>
  </x:si>
  <x:si>
    <x:t>주요 내용</x:t>
  </x:si>
  <x:si>
    <x:t>선금 관리</x:t>
  </x:si>
  <x:si>
    <x:t>제조원가 합계</x:t>
  </x:si>
  <x:si>
    <x:t>작성일:</x:t>
  </x:si>
  <x:si>
    <x:t>벽진BIO텍</x:t>
  </x:si>
  <x:si>
    <x:t>합계금액(원)</x:t>
  </x:si>
  <x:si>
    <x:t>이 시트</x:t>
  </x:si>
  <x:si>
    <x:t>단가(원)</x:t>
  </x:si>
  <x:si>
    <x:t>공급가액</x:t>
  </x:si>
  <x:si>
    <x:t>최대 비중</x:t>
  </x:si>
  <x:si>
    <x:t>■ 사업 구분</x:t>
  </x:si>
  <x:si>
    <x:t>대영염공(주)</x:t>
  </x:si>
  <x:si>
    <x:t>연녹색 배경</x:t>
  </x:si>
  <x:si>
    <x:t>금액(원)</x:t>
  </x:si>
  <x:si>
    <x:t>GS시스템</x:t>
  </x:si>
  <x:si>
    <x:t>연청색 배경</x:t>
  </x:si>
  <x:si>
    <x:t>협상 / 사양 조정 / PO 발행 대기</x:t>
  </x:si>
  <x:si>
    <x:t>텐터기 가스·전력 / 유량계 장착 확인</x:t>
  </x:si>
  <x:si>
    <x:t>공정수 재활용 저장탱크 제작 및 현장설치</x:t>
  </x:si>
  <x:si>
    <x:t>RO, 열교환온수회수, 용수, 텐터기</x:t>
  </x:si>
  <x:si>
    <x:t>유량계 사전 장착 확인 / 최소 규모</x:t>
  </x:si>
  <x:si>
    <x:t>스마트 생태공장, 섬유 제조 자동화 2개</x:t>
  </x:si>
  <x:si>
    <x:t>부가세·합계금액·선금/잔금 금액은 자동 계산됨</x:t>
  </x:si>
  <x:si>
    <x:t>② 시트의 빈 행에 사업구분(드롭다운) 선택</x:t>
  </x:si>
  <x:si>
    <x:t>견적금액: 519,000,000원 (부가세 제외)</x:t>
  </x:si>
  <x:si>
    <x:t>RO용수·열교환온수회수 마그네틱 유량계 포함</x:t>
  </x:si>
  <x:si>
    <x:t>통합 모니터링·염료조제·공정수 재활용 등 6건</x:t>
  </x:si>
  <x:si>
    <x:t>(수금된 선금 + 수금된 잔금) / 합계금액</x:t>
  </x:si>
  <x:si>
    <x:t>상생협력 실증 프로그램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</x:si>
</x:sst>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8">
    <x:numFmt numFmtId="164" formatCode="#,##0&quot;건&quot;"/>
    <x:numFmt numFmtId="165" formatCode="0&quot;건&quot;"/>
    <x:numFmt numFmtId="166" formatCode="0.0%"/>
    <x:numFmt numFmtId="167" formatCode="#,##0&quot;원&quot;"/>
    <x:numFmt numFmtId="168" formatCode="yyyy\-mm\-dd"/>
    <x:numFmt numFmtId="169" formatCode="#,##0;;;"/>
    <x:numFmt numFmtId="170" formatCode="yyyy\-mm\-dd;;;"/>
    <x:numFmt numFmtId="171" formatCode="0.0%;;;"/>
  </x:numFmts>
  <x:fonts count="14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0"/>
      <x:color rgb="ff000000"/>
    </x:font>
    <x:font>
      <x:name val="맑은 고딕"/>
      <x:sz val="11"/>
      <x:color rgb="ffc00000"/>
      <x:b val="1"/>
    </x:font>
    <x:font>
      <x:name val="맑은 고딕"/>
      <x:sz val="10"/>
      <x:color rgb="ffffffff"/>
      <x:b val="1"/>
    </x:font>
    <x:font>
      <x:name val="맑은 고딕"/>
      <x:sz val="11"/>
      <x:color rgb="ff000000"/>
    </x:font>
    <x:font>
      <x:name val="맑은 고딕"/>
      <x:sz val="10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c00000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c00000"/>
          <x:i val="1"/>
        </x:font>
      </mc:Fallback>
    </mc:AlternateContent>
  </x:fonts>
  <x:fills count="14">
    <x:fill>
      <x:patternFill patternType="none"/>
    </x:fill>
    <x:fill>
      <x:patternFill patternType="gray125"/>
    </x:fill>
    <x:fill>
      <x:patternFill patternType="solid">
        <x:fgColor rgb="fffff2cc"/>
        <x:bgColor rgb="ffe2efda"/>
      </x:patternFill>
    </x:fill>
    <x:fill>
      <x:patternFill patternType="solid">
        <x:fgColor rgb="ff2e75b6"/>
        <x:bgColor rgb="ff305496"/>
      </x:patternFill>
    </x:fill>
    <x:fill>
      <x:patternFill patternType="solid">
        <x:fgColor rgb="ffc00000"/>
        <x:bgColor rgb="ff800000"/>
      </x:patternFill>
    </x:fill>
    <x:fill>
      <x:patternFill patternType="solid">
        <x:fgColor rgb="ffd5e3f0"/>
        <x:bgColor rgb="ffddebf7"/>
      </x:patternFill>
    </x:fill>
    <x:fill>
      <x:patternFill patternType="solid">
        <x:fgColor rgb="ffe2efda"/>
        <x:bgColor rgb="ffddebf7"/>
      </x:patternFill>
    </x:fill>
    <x:fill>
      <x:patternFill patternType="solid">
        <x:fgColor rgb="ff1f4e78"/>
        <x:bgColor rgb="ff305496"/>
      </x:patternFill>
    </x:fill>
    <x:fill>
      <x:patternFill patternType="solid">
        <x:fgColor rgb="ffddebf7"/>
        <x:bgColor rgb="ffd5e3f0"/>
      </x:patternFill>
    </x:fill>
    <x:fill>
      <x:patternFill patternType="solid">
        <x:fgColor rgb="ff305496"/>
        <x:bgColor rgb="ff1f4e78"/>
      </x:patternFill>
    </x:fill>
    <x:fill>
      <x:patternFill patternType="solid">
        <x:fgColor rgb="ff833c0c"/>
        <x:bgColor rgb="ff993366"/>
      </x:patternFill>
    </x:fill>
    <x:fill>
      <x:patternFill patternType="solid">
        <x:fgColor rgb="ff538135"/>
        <x:bgColor rgb="ff808000"/>
      </x:patternFill>
    </x:fill>
    <x:fill>
      <x:patternFill patternType="solid">
        <x:fgColor rgb="ffbf8f00"/>
        <x:bgColor rgb="ff808000"/>
      </x:patternFill>
    </x:fill>
    <x:fill>
      <x:patternFill patternType="solid">
        <x:fgColor rgb="ff595959"/>
        <x:bgColor rgb="ff305496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</x:borders>
  <x:cellStyleXfs count="1">
    <x:xf numFmtId="0" fontId="0" fillId="0" borderId="0">
      <x:alignment horizontal="general" vertical="center"/>
    </x:xf>
  </x:cellStyleXfs>
  <x:cellXfs count="42">
    <x:xf numFmtId="0" fontId="0" fillId="0" borderId="0" xfId="0" applyNumberFormat="1" applyAlignment="1">
      <x:alignment horizontal="general" vertical="bottom"/>
    </x:xf>
    <x:xf numFmtId="0" fontId="6" fillId="0" borderId="0" xfId="0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6" fillId="0" borderId="1" xfId="0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" xfId="0" applyNumberFormat="1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6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6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6" fillId="0" borderId="1" xfId="0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6" fillId="0" borderId="1" xfId="0" applyNumberFormat="1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7" fillId="2" borderId="1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7" fillId="2" borderId="1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7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7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1" xfId="0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1" xfId="0" applyNumberFormat="1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6" fillId="0" borderId="1" xfId="0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6" fillId="0" borderId="1" xfId="0" applyNumberFormat="1" applyFont="1" applyBorder="1" applyAlignment="1">
          <x:alignment horizontal="right" vertical="center"/>
        </x:xf>
      </mc:Fallback>
    </mc:AlternateContent>
    <x:xf numFmtId="0" fontId="6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3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6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6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9" fontId="6" fillId="0" borderId="1" xfId="0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6" fillId="0" borderId="1" xfId="0" applyNumberFormat="1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0" fontId="6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70" fontId="6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1" fontId="6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71" fontId="6" fillId="0" borderId="1" xfId="0" applyNumberFormat="1" applyFont="1" applyBorder="1" applyAlignment="1">
          <x:alignment horizontal="center" vertical="center" wrapText="1"/>
        </x:xf>
      </mc:Fallback>
    </mc:AlternateContent>
    <x:xf numFmtId="0" fontId="9" fillId="0" borderId="0" xfId="0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4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" xfId="0" applyNumberFormat="1" applyFont="1" applyFill="1" applyBorder="1" applyAlignment="1">
          <x:alignment horizontal="center" vertical="center" wrapText="1"/>
        </x:xf>
      </mc:Fallback>
    </mc:AlternateContent>
    <x:xf numFmtId="0" fontId="10" fillId="0" borderId="0" xfId="0" applyNumberFormat="1" applyFont="1" applyAlignment="1">
      <x:alignment horizontal="general" vertical="bottom"/>
    </x:xf>
    <x:xf numFmtId="0" fontId="6" fillId="5" borderId="1" xfId="0" applyNumberFormat="1" applyFont="1" applyFill="1" applyBorder="1" applyAlignment="1">
      <x:alignment horizontal="left" vertical="center" wrapText="1"/>
    </x:xf>
    <x:xf numFmtId="0" fontId="6" fillId="6" borderId="1" xfId="0" applyNumberFormat="1" applyFont="1" applyFill="1" applyBorder="1" applyAlignment="1">
      <x:alignment horizontal="left" vertical="center" wrapText="1"/>
    </x:xf>
    <x:xf numFmtId="0" fontId="7" fillId="2" borderId="1" xfId="0" applyNumberFormat="1" applyFont="1" applyFill="1" applyBorder="1" applyAlignment="1">
      <x:alignment horizontal="left" vertical="center" wrapText="1"/>
    </x:xf>
    <x:xf numFmtId="0" fontId="11" fillId="3" borderId="1" xfId="0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2" fillId="7" borderId="0" xfId="0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7" borderId="0" xfId="0" applyNumberFormat="1" applyFont="1" applyFill="1" applyAlignment="1">
          <x:alignment horizontal="center" vertical="center" wrapText="1"/>
        </x:xf>
      </mc:Fallback>
    </mc:AlternateContent>
    <x:xf numFmtId="0" fontId="10" fillId="8" borderId="0" xfId="0" applyNumberFormat="1" applyFont="1" applyFill="1" applyAlignment="1">
      <x:alignment horizontal="left" vertical="center" wrapText="1"/>
    </x:xf>
    <x:xf numFmtId="0" fontId="13" fillId="0" borderId="0" xfId="0" applyNumberFormat="1" applyFont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9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9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7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7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0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0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1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1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3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3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Alignment="1">
          <x:alignment horizontal="center" vertical="center" wrapText="1"/>
        </x:xf>
      </mc:Fallback>
    </mc:AlternateContent>
    <x:xf numFmtId="0" fontId="10" fillId="8" borderId="0" xfId="0" applyNumberFormat="1" applyFont="1" applyFill="1" applyAlignment="1">
      <x:alignment horizontal="general" vertical="bottom"/>
    </x:xf>
    <x:xf numFmtId="0" fontId="7" fillId="2" borderId="1" xfId="0" applyNumberFormat="1" applyFont="1" applyFill="1" applyBorder="1" applyAlignment="1">
      <x:alignment horizontal="left" vertical="center" wrapText="1"/>
    </x:xf>
  </x:cellXfs>
  <x:cellStyles count="1">
    <x:cellStyle name="표준" xfId="0" builtinId="0"/>
  </x:cellStyles>
  <x:dxfs count="4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x:dxf>
      <x:fill>
        <x:patternFill>
          <x:bgColor rgb="ffffc7ce"/>
        </x:patternFill>
      </x:fill>
    </x:dxf>
    <x:dxf>
      <x:fill>
        <x:patternFill>
          <x:bgColor rgb="ffffeb9c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ffeb9c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ffeb9c"/>
        </x:patternFill>
      </x:fill>
    </x:dxf>
    <x:dxf>
      <x:fill>
        <x:patternFill>
          <x:bgColor rgb="ffffeb9c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d5e3f0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ffeb9c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ffeb9c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ffeb9c"/>
        </x:patternFill>
      </x:fill>
    </x:dxf>
    <x:dxf>
      <x:fill>
        <x:patternFill>
          <x:bgColor rgb="ffffeb9c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c6efce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36"/>
  <x:sheetViews>
    <x:sheetView topLeftCell="A1" zoomScaleNormal="100" zoomScaleSheetLayoutView="100" workbookViewId="0">
      <x:selection activeCell="G25" activeCellId="0" sqref="G25:G25"/>
    </x:sheetView>
  </x:sheetViews>
  <x:sheetFormatPr defaultColWidth="8.6328125" defaultRowHeight="16.39999999999999857891"/>
  <x:cols>
    <x:col min="1" max="1" width="24" style="20" customWidth="1"/>
    <x:col min="2" max="2" width="18" style="20" customWidth="1"/>
    <x:col min="3" max="3" width="15" style="20" customWidth="1"/>
    <x:col min="4" max="4" width="20" style="20" customWidth="1"/>
    <x:col min="5" max="5" width="10" style="20" customWidth="1"/>
    <x:col min="6" max="7" width="16" style="20" customWidth="1"/>
    <x:col min="8" max="8" width="15" style="20" customWidth="1"/>
    <x:col min="9" max="9" width="10" style="20" customWidth="1"/>
    <x:col min="10" max="16384" width="8.6328125" style="20"/>
  </x:cols>
  <x:sheetData>
    <x:row r="1" spans="1:9" ht="31.5" customHeight="1">
      <x:c r="A1" s="29" t="s">
        <x:v>160</x:v>
      </x:c>
      <x:c r="B1" s="29"/>
      <x:c r="C1" s="29"/>
      <x:c r="D1" s="29"/>
      <x:c r="E1" s="29"/>
      <x:c r="F1" s="29"/>
      <x:c r="G1" s="29"/>
      <x:c r="H1" s="29"/>
      <x:c r="I1" s="29"/>
    </x:row>
    <x:row r="3" spans="1:2">
      <x:c r="A3" s="24" t="s">
        <x:v>241</x:v>
      </x:c>
      <x:c r="B3" s="1" t="s">
        <x:v>30</x:v>
      </x:c>
    </x:row>
    <x:row r="5" spans="1:9" ht="15" customHeight="1">
      <x:c r="A5" s="30" t="s">
        <x:v>165</x:v>
      </x:c>
      <x:c r="B5" s="30"/>
      <x:c r="D5" s="30" t="s">
        <x:v>26</x:v>
      </x:c>
      <x:c r="E5" s="30"/>
      <x:c r="F5" s="30"/>
      <x:c r="G5" s="30"/>
      <x:c r="H5" s="30"/>
      <x:c r="I5" s="30"/>
    </x:row>
    <x:row r="6" spans="1:9">
      <x:c r="A6" s="13" t="s">
        <x:v>132</x:v>
      </x:c>
      <x:c r="B6" s="13" t="s">
        <x:v>128</x:v>
      </x:c>
      <x:c r="D6" s="13" t="s">
        <x:v>190</x:v>
      </x:c>
      <x:c r="E6" s="13" t="s">
        <x:v>16</x:v>
      </x:c>
      <x:c r="F6" s="13" t="s">
        <x:v>192</x:v>
      </x:c>
      <x:c r="G6" s="13" t="s">
        <x:v>219</x:v>
      </x:c>
      <x:c r="H6" s="13" t="s">
        <x:v>3</x:v>
      </x:c>
      <x:c r="I6" s="13" t="s">
        <x:v>146</x:v>
      </x:c>
    </x:row>
    <x:row r="7" spans="1:9">
      <x:c r="A7" s="12" t="s">
        <x:v>209</x:v>
      </x:c>
      <x:c r="B7" s="2">
        <x:f>COUNTA('② 견적리스트'!D5:D54)</x:f>
        <x:v>13</x:v>
      </x:c>
      <x:c r="D7" s="25" t="s">
        <x:v>29</x:v>
      </x:c>
      <x:c r="E7" s="3">
        <x:f>COUNTIF('② 견적리스트'!A5:A54,"스마트 생태공장")</x:f>
        <x:v>6</x:v>
      </x:c>
      <x:c r="F7" s="4">
        <x:f>SUMIF('② 견적리스트'!A5:A54,"스마트 생태공장",'② 견적리스트'!I5:I54)</x:f>
        <x:v>820000000</x:v>
      </x:c>
      <x:c r="G7" s="4">
        <x:f>SUMIF('② 견적리스트'!A5:A54,"스마트 생태공장",'② 견적리스트'!K5:K54)</x:f>
        <x:v>902000000</x:v>
      </x:c>
      <x:c r="H7" s="4">
        <x:f>SUMIFS('② 견적리스트'!P5:P54,'② 견적리스트'!A5:A54,"스마트 생태공장",'② 견적리스트'!R5:R54,"수금")+SUMIFS('② 견적리스트'!T5:T54,'② 견적리스트'!A5:A54,"스마트 생태공장",'② 견적리스트'!V5:V54,"수금")</x:f>
        <x:v>0</x:v>
      </x:c>
      <x:c r="I7" s="5">
        <x:f>IFERROR(H7/G7,0)</x:f>
        <x:v>0</x:v>
      </x:c>
    </x:row>
    <x:row r="8" spans="1:9">
      <x:c r="A8" s="12" t="s">
        <x:v>192</x:v>
      </x:c>
      <x:c r="B8" s="6">
        <x:f>SUM('② 견적리스트'!I5:I54)</x:f>
        <x:v>960000000</x:v>
      </x:c>
      <x:c r="D8" s="26" t="s">
        <x:v>24</x:v>
      </x:c>
      <x:c r="E8" s="3">
        <x:f>COUNTIF('② 견적리스트'!A5:A54,"섬유 제조 자동화")</x:f>
        <x:v>2</x:v>
      </x:c>
      <x:c r="F8" s="4">
        <x:f>SUMIF('② 견적리스트'!A5:A54,"섬유 제조 자동화",'② 견적리스트'!I5:I54)</x:f>
        <x:v>140000000</x:v>
      </x:c>
      <x:c r="G8" s="4">
        <x:f>SUMIF('② 견적리스트'!A5:A54,"섬유 제조 자동화",'② 견적리스트'!K5:K54)</x:f>
        <x:v>154000000</x:v>
      </x:c>
      <x:c r="H8" s="4">
        <x:f>SUMIFS('② 견적리스트'!P5:P54,'② 견적리스트'!A5:A54,"섬유 제조 자동화",'② 견적리스트'!R5:R54,"수금")+SUMIFS('② 견적리스트'!T5:T54,'② 견적리스트'!A5:A54,"섬유 제조 자동화",'② 견적리스트'!V5:V54,"수금")</x:f>
        <x:v>0</x:v>
      </x:c>
      <x:c r="I8" s="5">
        <x:f>IFERROR(H8/G8,0)</x:f>
        <x:v>0</x:v>
      </x:c>
    </x:row>
    <x:row r="9" spans="1:9">
      <x:c r="A9" s="12" t="s">
        <x:v>180</x:v>
      </x:c>
      <x:c r="B9" s="6">
        <x:f>SUM('② 견적리스트'!K5:K54)</x:f>
        <x:v>1056000000</x:v>
      </x:c>
      <x:c r="D9" s="27" t="s">
        <x:v>14</x:v>
      </x:c>
      <x:c r="E9" s="7">
        <x:f>SUM(E7:E8)</x:f>
        <x:v>8</x:v>
      </x:c>
      <x:c r="F9" s="8">
        <x:f>SUM(F7:F8)</x:f>
        <x:v>960000000</x:v>
      </x:c>
      <x:c r="G9" s="8">
        <x:f>SUM(G7:G8)</x:f>
        <x:v>1056000000</x:v>
      </x:c>
      <x:c r="H9" s="8">
        <x:f>SUM(H7:H8)</x:f>
        <x:v>0</x:v>
      </x:c>
      <x:c r="I9" s="9">
        <x:f>IFERROR(H9/F9,0)</x:f>
        <x:v>0</x:v>
      </x:c>
    </x:row>
    <x:row r="10" spans="1:2">
      <x:c r="A10" s="12" t="s">
        <x:v>205</x:v>
      </x:c>
      <x:c r="B10" s="6">
        <x:f>IFERROR(AVERAGE('② 견적리스트'!I5:I54),0)</x:f>
        <x:v>120000000</x:v>
      </x:c>
    </x:row>
    <x:row r="11" spans="1:2">
      <x:c r="A11" s="12" t="s">
        <x:v>28</x:v>
      </x:c>
      <x:c r="B11" s="10">
        <x:f>COUNTIF('② 견적리스트'!L5:L54,"수주")+COUNTIF('② 견적리스트'!L5:L54,"설치중")+COUNTIF('② 견적리스트'!L5:L54,"완료")</x:f>
        <x:v>0</x:v>
      </x:c>
    </x:row>
    <x:row r="12" spans="1:2">
      <x:c r="A12" s="12" t="s">
        <x:v>196</x:v>
      </x:c>
      <x:c r="B12" s="10">
        <x:f>COUNTIF('② 견적리스트'!L5:L54,"진행중")</x:f>
        <x:v>0</x:v>
      </x:c>
    </x:row>
    <x:row r="13" spans="1:2">
      <x:c r="A13" s="12" t="s">
        <x:v>227</x:v>
      </x:c>
      <x:c r="B13" s="10">
        <x:f>COUNTIF('② 견적리스트'!L5:L54,"대기")</x:f>
        <x:v>8</x:v>
      </x:c>
    </x:row>
    <x:row r="14" spans="1:2">
      <x:c r="A14" s="12" t="s">
        <x:v>198</x:v>
      </x:c>
      <x:c r="B14" s="6">
        <x:f>SUMIFS('② 견적리스트'!P5:P54,'② 견적리스트'!R5:R54,"수금")</x:f>
        <x:v>0</x:v>
      </x:c>
    </x:row>
    <x:row r="15" spans="1:2">
      <x:c r="A15" s="12" t="s">
        <x:v>206</x:v>
      </x:c>
      <x:c r="B15" s="6">
        <x:f>SUMIFS('② 견적리스트'!T5:T54,'② 견적리스트'!V5:V54,"수금")</x:f>
        <x:v>0</x:v>
      </x:c>
    </x:row>
    <x:row r="16" spans="1:2">
      <x:c r="A16" s="12" t="s">
        <x:v>204</x:v>
      </x:c>
      <x:c r="B16" s="6">
        <x:f>B14+B15</x:f>
        <x:v>0</x:v>
      </x:c>
    </x:row>
    <x:row r="17" spans="1:2">
      <x:c r="A17" s="12" t="s">
        <x:v>81</x:v>
      </x:c>
      <x:c r="B17" s="11">
        <x:f>IFERROR(B16/B9,0)</x:f>
        <x:v>0</x:v>
      </x:c>
    </x:row>
    <x:row r="19" spans="1:7" ht="15" customHeight="1">
      <x:c r="A19" s="30" t="s">
        <x:v>25</x:v>
      </x:c>
      <x:c r="B19" s="30"/>
      <x:c r="C19" s="30"/>
      <x:c r="E19" s="30" t="s">
        <x:v>85</x:v>
      </x:c>
      <x:c r="F19" s="30"/>
      <x:c r="G19" s="30"/>
    </x:row>
    <x:row r="20" spans="1:7">
      <x:c r="A20" s="13" t="s">
        <x:v>194</x:v>
      </x:c>
      <x:c r="B20" s="13" t="s">
        <x:v>16</x:v>
      </x:c>
      <x:c r="C20" s="13" t="s">
        <x:v>192</x:v>
      </x:c>
      <x:c r="E20" s="13" t="s">
        <x:v>6</x:v>
      </x:c>
      <x:c r="F20" s="13" t="s">
        <x:v>16</x:v>
      </x:c>
      <x:c r="G20" s="13" t="s">
        <x:v>192</x:v>
      </x:c>
    </x:row>
    <x:row r="21" spans="1:7">
      <x:c r="A21" s="12" t="s">
        <x:v>82</x:v>
      </x:c>
      <x:c r="B21" s="3">
        <x:f>COUNTIF('② 견적리스트'!D5:D54,"(주)을화 비산공장")</x:f>
        <x:v>2</x:v>
      </x:c>
      <x:c r="C21" s="4">
        <x:f>SUMIF('② 견적리스트'!D5:D54,"(주)을화 비산공장",'② 견적리스트'!I5:I54)</x:f>
        <x:v>607000000</x:v>
      </x:c>
      <x:c r="E21" s="12" t="s">
        <x:v>252</x:v>
      </x:c>
      <x:c r="F21" s="3">
        <x:f>COUNTIF('② 견적리스트'!E5:E54,"GS시스템")</x:f>
        <x:v>7</x:v>
      </x:c>
      <x:c r="G21" s="4">
        <x:f>SUMIF('② 견적리스트'!E5:E54,"GS시스템",'② 견적리스트'!I5:I54)</x:f>
        <x:v>872000000</x:v>
      </x:c>
    </x:row>
    <x:row r="22" spans="1:7">
      <x:c r="A22" s="12" t="s">
        <x:v>249</x:v>
      </x:c>
      <x:c r="B22" s="3">
        <x:f>COUNTIF('② 견적리스트'!D5:D54,"대영염공(주)")</x:f>
        <x:v>2</x:v>
      </x:c>
      <x:c r="C22" s="4">
        <x:f>SUMIF('② 견적리스트'!D5:D54,"대영염공(주)",'② 견적리스트'!I5:I54)</x:f>
        <x:v>70000000</x:v>
      </x:c>
      <x:c r="E22" s="12" t="s">
        <x:v>200</x:v>
      </x:c>
      <x:c r="F22" s="3">
        <x:f>COUNTIF('② 견적리스트'!E5:E54,"아이언텍")</x:f>
        <x:v>1</x:v>
      </x:c>
      <x:c r="G22" s="4">
        <x:f>SUMIF('② 견적리스트'!E5:E54,"아이언텍",'② 견적리스트'!I5:I54)</x:f>
        <x:v>88000000</x:v>
      </x:c>
    </x:row>
    <x:row r="23" spans="1:7">
      <x:c r="A23" s="12" t="s">
        <x:v>242</x:v>
      </x:c>
      <x:c r="B23" s="3">
        <x:f>COUNTIF('② 견적리스트'!D5:D54,"벽진BIO텍")</x:f>
        <x:v>1</x:v>
      </x:c>
      <x:c r="C23" s="4">
        <x:f>SUMIF('② 견적리스트'!D5:D54,"벽진BIO텍",'② 견적리스트'!I5:I54)</x:f>
        <x:v>70000000</x:v>
      </x:c>
      <x:c r="E23" s="27" t="s">
        <x:v>14</x:v>
      </x:c>
      <x:c r="F23" s="7">
        <x:f>SUM(F21:F22)</x:f>
        <x:v>8</x:v>
      </x:c>
      <x:c r="G23" s="8">
        <x:f>SUM(G21:G22)</x:f>
        <x:v>960000000</x:v>
      </x:c>
    </x:row>
    <x:row r="24" spans="1:3">
      <x:c r="A24" s="12" t="s">
        <x:v>195</x:v>
      </x:c>
      <x:c r="B24" s="3">
        <x:f>COUNTIF('② 견적리스트'!D5:D54,"신한염직")</x:f>
        <x:v>1</x:v>
      </x:c>
      <x:c r="C24" s="4">
        <x:f>SUMIF('② 견적리스트'!D5:D54,"신한염직",'② 견적리스트'!I5:I54)</x:f>
        <x:v>62000000</x:v>
      </x:c>
    </x:row>
    <x:row r="25" spans="1:3">
      <x:c r="A25" s="12" t="s">
        <x:v>193</x:v>
      </x:c>
      <x:c r="B25" s="3">
        <x:f>COUNTIF('② 견적리스트'!D5:D54,"우성염직")</x:f>
        <x:v>1</x:v>
      </x:c>
      <x:c r="C25" s="4">
        <x:f>SUMIF('② 견적리스트'!D5:D54,"우성염직",'② 견적리스트'!I5:I54)</x:f>
        <x:v>52000000</x:v>
      </x:c>
    </x:row>
    <x:row r="26" spans="1:3">
      <x:c r="A26" s="12" t="s">
        <x:v>215</x:v>
      </x:c>
      <x:c r="B26" s="3">
        <x:f>COUNTIF('② 견적리스트'!D5:D54,"원풍물산")</x:f>
        <x:v>2</x:v>
      </x:c>
      <x:c r="C26" s="4">
        <x:f>SUMIF('② 견적리스트'!D5:D54,"원풍물산",'② 견적리스트'!I5:I54)</x:f>
        <x:v>53000000</x:v>
      </x:c>
    </x:row>
    <x:row r="27" spans="1:3">
      <x:c r="A27" s="12" t="s">
        <x:v>199</x:v>
      </x:c>
      <x:c r="B27" s="3">
        <x:f>COUNTIF('② 견적리스트'!D5:D54,"한국에이스")</x:f>
        <x:v>1</x:v>
      </x:c>
      <x:c r="C27" s="4">
        <x:f>SUMIF('② 견적리스트'!D5:D54,"한국에이스",'② 견적리스트'!I5:I54)</x:f>
        <x:v>46000000</x:v>
      </x:c>
    </x:row>
    <x:row r="28" spans="1:3">
      <x:c r="A28" s="27" t="s">
        <x:v>14</x:v>
      </x:c>
      <x:c r="B28" s="7">
        <x:f>SUM(B21:B27)</x:f>
        <x:v>10</x:v>
      </x:c>
      <x:c r="C28" s="8">
        <x:f>SUM(C21:C27)</x:f>
        <x:v>960000000</x:v>
      </x:c>
    </x:row>
    <x:row r="31" spans="1:5" ht="15" customHeight="1">
      <x:c r="A31" s="30" t="s">
        <x:v>168</x:v>
      </x:c>
      <x:c r="B31" s="30"/>
      <x:c r="C31" s="30"/>
      <x:c r="D31" s="30"/>
      <x:c r="E31" s="30"/>
    </x:row>
    <x:row r="32" spans="1:5">
      <x:c r="A32" s="13" t="s">
        <x:v>187</x:v>
      </x:c>
      <x:c r="B32" s="13" t="s">
        <x:v>16</x:v>
      </x:c>
      <x:c r="C32" s="13" t="s">
        <x:v>192</x:v>
      </x:c>
      <x:c r="D32" s="13" t="s">
        <x:v>130</x:v>
      </x:c>
      <x:c r="E32" s="13" t="s">
        <x:v>7</x:v>
      </x:c>
    </x:row>
    <x:row r="33" spans="1:5">
      <x:c r="A33" s="12" t="s">
        <x:v>230</x:v>
      </x:c>
      <x:c r="B33" s="3">
        <x:f>COUNTIF('② 견적리스트'!G5:G54,"공정수 재활용")</x:f>
        <x:v>1</x:v>
      </x:c>
      <x:c r="C33" s="4">
        <x:f>SUMIF('② 견적리스트'!G5:G54,"공정수 재활용",'② 견적리스트'!I5:I54)</x:f>
        <x:v>88000000</x:v>
      </x:c>
      <x:c r="D33" s="4">
        <x:f>IFERROR(AVERAGEIF('② 견적리스트'!G5:G54,"공정수 재활용",'② 견적리스트'!I5:I54),0)</x:f>
        <x:v>88000000</x:v>
      </x:c>
      <x:c r="E33" s="5">
        <x:f>IFERROR(C33/SUM('② 견적리스트'!I5:I54),0)</x:f>
        <x:v>0.09166666666666666</x:v>
      </x:c>
    </x:row>
    <x:row r="34" spans="1:5">
      <x:c r="A34" s="12" t="s">
        <x:v>89</x:v>
      </x:c>
      <x:c r="B34" s="3">
        <x:f>COUNTIF('② 견적리스트'!G5:G54,"공정액 농도 자동제어")</x:f>
        <x:v>2</x:v>
      </x:c>
      <x:c r="C34" s="4">
        <x:f>SUMIF('② 견적리스트'!G5:G54,"공정액 농도 자동제어",'② 견적리스트'!I5:I54)</x:f>
        <x:v>140000000</x:v>
      </x:c>
      <x:c r="D34" s="4">
        <x:f>IFERROR(AVERAGEIF('② 견적리스트'!G5:G54,"공정액 농도 자동제어",'② 견적리스트'!I5:I54),0)</x:f>
        <x:v>70000000</x:v>
      </x:c>
      <x:c r="E34" s="5">
        <x:f>IFERROR(C34/SUM('② 견적리스트'!I5:I54),0)</x:f>
        <x:v>0.14583333333333334</x:v>
      </x:c>
    </x:row>
    <x:row r="35" spans="1:5">
      <x:c r="A35" s="12" t="s">
        <x:v>68</x:v>
      </x:c>
      <x:c r="B35" s="3">
        <x:f>COUNTIF('② 견적리스트'!G5:G54,"염료/조제 스마트제어")</x:f>
        <x:v>1</x:v>
      </x:c>
      <x:c r="C35" s="4">
        <x:f>SUMIF('② 견적리스트'!G5:G54,"염료/조제 스마트제어",'② 견적리스트'!I5:I54)</x:f>
        <x:v>519000000</x:v>
      </x:c>
      <x:c r="D35" s="4">
        <x:f>IFERROR(AVERAGEIF('② 견적리스트'!G5:G54,"염료/조제 스마트제어",'② 견적리스트'!I5:I54),0)</x:f>
        <x:v>519000000</x:v>
      </x:c>
      <x:c r="E35" s="5">
        <x:f>IFERROR(C35/SUM('② 견적리스트'!I5:I54),0)</x:f>
        <x:v>0.54062500000000002</x:v>
      </x:c>
    </x:row>
    <x:row r="36" spans="1:5">
      <x:c r="A36" s="12" t="s">
        <x:v>27</x:v>
      </x:c>
      <x:c r="B36" s="3">
        <x:f>COUNTIF('② 견적리스트'!G5:G54,"통합 모니터링 시스템")</x:f>
        <x:v>4</x:v>
      </x:c>
      <x:c r="C36" s="4">
        <x:f>SUMIF('② 견적리스트'!G5:G54,"통합 모니터링 시스템",'② 견적리스트'!I5:I54)</x:f>
        <x:v>213000000</x:v>
      </x:c>
      <x:c r="D36" s="4">
        <x:f>IFERROR(AVERAGEIF('② 견적리스트'!G5:G54,"통합 모니터링 시스템",'② 견적리스트'!I5:I54),0)</x:f>
        <x:v>53250000</x:v>
      </x:c>
      <x:c r="E36" s="5">
        <x:f>IFERROR(C36/SUM('② 견적리스트'!I5:I54),0)</x:f>
        <x:v>0.22187499999999999</x:v>
      </x:c>
    </x:row>
  </x:sheetData>
  <x:mergeCells count="6">
    <x:mergeCell ref="A1:I1"/>
    <x:mergeCell ref="A5:B5"/>
    <x:mergeCell ref="D5:I5"/>
    <x:mergeCell ref="A19:C19"/>
    <x:mergeCell ref="E19:G19"/>
    <x:mergeCell ref="A31:E31"/>
  </x:mergeCells>
  <x:pageMargins left="0.75" right="0.75" top="1" bottom="1" header="0.51166665554046630859" footer="0.51166665554046630859"/>
  <x:pageSetup paperSize="9" scale="100" firstPageNumber="1" fitToWidth="1" fitToHeight="1" orientation="portrait" usePrinterDefaults="1" blackAndWhite="0" draft="0" useFirstPageNumber="0" horizontalDpi="300" verticalDpi="3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 filterMode="1"/>
  <x:dimension ref="A1:Z55"/>
  <x:sheetViews>
    <x:sheetView tabSelected="1" topLeftCell="A1" zoomScaleNormal="100" zoomScaleSheetLayoutView="100" workbookViewId="0">
      <x:pane xSplit="2" ySplit="4" topLeftCell="C14" activePane="bottomRight" state="frozen"/>
      <x:selection pane="bottomRight" activeCell="D13" activeCellId="0" sqref="D13:D13"/>
    </x:sheetView>
  </x:sheetViews>
  <x:sheetFormatPr defaultColWidth="8.6328125" defaultRowHeight="16.39999999999999857891"/>
  <x:cols>
    <x:col min="1" max="1" width="16" style="20" customWidth="1"/>
    <x:col min="2" max="2" width="5" style="20" customWidth="1"/>
    <x:col min="3" max="3" width="17" style="20" customWidth="1"/>
    <x:col min="4" max="4" width="18" style="20" customWidth="1"/>
    <x:col min="5" max="6" width="11" style="20" customWidth="1"/>
    <x:col min="7" max="7" width="20" style="20" customWidth="1"/>
    <x:col min="8" max="8" width="31.54296875" style="20" customWidth="1"/>
    <x:col min="9" max="9" width="14" style="20" customWidth="1"/>
    <x:col min="10" max="10" width="12" style="20" customWidth="1"/>
    <x:col min="11" max="11" width="14" style="20" customWidth="1"/>
    <x:col min="12" max="12" width="10" style="20" customWidth="1"/>
    <x:col min="13" max="14" width="12" style="20" customWidth="1"/>
    <x:col min="15" max="15" width="10" style="20" customWidth="1"/>
    <x:col min="16" max="16" width="14" style="20" customWidth="1"/>
    <x:col min="17" max="17" width="12" style="20" customWidth="1"/>
    <x:col min="18" max="19" width="10" style="20" customWidth="1"/>
    <x:col min="20" max="20" width="14" style="20" customWidth="1"/>
    <x:col min="21" max="21" width="12" style="20" customWidth="1"/>
    <x:col min="22" max="22" width="10" style="20" customWidth="1"/>
    <x:col min="23" max="23" width="11" style="20" customWidth="1"/>
    <x:col min="24" max="24" width="10" style="20" customWidth="1"/>
    <x:col min="25" max="25" width="15" style="20" customWidth="1"/>
    <x:col min="26" max="26" width="35.453125" style="20" customWidth="1"/>
    <x:col min="27" max="16384" width="8.6328125" style="20"/>
  </x:cols>
  <x:sheetData>
    <x:row r="1" spans="1:26" ht="30" customHeight="1">
      <x:c r="A1" s="29" t="s">
        <x:v>43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 spans="1:26" ht="15" customHeight="1">
      <x:c r="A2" s="31" t="s">
        <x:v>18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spans="1:26" ht="15" customHeight="1">
      <x:c r="A3" s="32" t="s">
        <x:v>197</x:v>
      </x:c>
      <x:c r="B3" s="32"/>
      <x:c r="C3" s="32"/>
      <x:c r="D3" s="32"/>
      <x:c r="E3" s="32"/>
      <x:c r="F3" s="32"/>
      <x:c r="G3" s="32"/>
      <x:c r="H3" s="32"/>
      <x:c r="I3" s="33" t="s">
        <x:v>9</x:v>
      </x:c>
      <x:c r="J3" s="33"/>
      <x:c r="K3" s="33"/>
      <x:c r="L3" s="34" t="s">
        <x:v>212</x:v>
      </x:c>
      <x:c r="M3" s="34"/>
      <x:c r="N3" s="34"/>
      <x:c r="O3" s="35" t="s">
        <x:v>239</x:v>
      </x:c>
      <x:c r="P3" s="35"/>
      <x:c r="Q3" s="35"/>
      <x:c r="R3" s="35"/>
      <x:c r="S3" s="36" t="s">
        <x:v>207</x:v>
      </x:c>
      <x:c r="T3" s="36"/>
      <x:c r="U3" s="36"/>
      <x:c r="V3" s="36"/>
      <x:c r="W3" s="21" t="s">
        <x:v>146</x:v>
      </x:c>
      <x:c r="X3" s="37" t="s">
        <x:v>221</x:v>
      </x:c>
      <x:c r="Y3" s="37"/>
      <x:c r="Z3" s="37"/>
    </x:row>
    <x:row r="4" spans="1:26" ht="36" customHeight="1">
      <x:c r="A4" s="13" t="s">
        <x:v>190</x:v>
      </x:c>
      <x:c r="B4" s="13" t="s">
        <x:v>5</x:v>
      </x:c>
      <x:c r="C4" s="13" t="s">
        <x:v>188</x:v>
      </x:c>
      <x:c r="D4" s="13" t="s">
        <x:v>194</x:v>
      </x:c>
      <x:c r="E4" s="13" t="s">
        <x:v>6</x:v>
      </x:c>
      <x:c r="F4" s="13" t="s">
        <x:v>2</x:v>
      </x:c>
      <x:c r="G4" s="13" t="s">
        <x:v>187</x:v>
      </x:c>
      <x:c r="H4" s="13" t="s">
        <x:v>17</x:v>
      </x:c>
      <x:c r="I4" s="13" t="s">
        <x:v>224</x:v>
      </x:c>
      <x:c r="J4" s="13" t="s">
        <x:v>232</x:v>
      </x:c>
      <x:c r="K4" s="13" t="s">
        <x:v>243</x:v>
      </x:c>
      <x:c r="L4" s="13" t="s">
        <x:v>202</x:v>
      </x:c>
      <x:c r="M4" s="13" t="s">
        <x:v>189</x:v>
      </x:c>
      <x:c r="N4" s="13" t="s">
        <x:v>186</x:v>
      </x:c>
      <x:c r="O4" s="13" t="s">
        <x:v>96</x:v>
      </x:c>
      <x:c r="P4" s="13" t="s">
        <x:v>97</x:v>
      </x:c>
      <x:c r="Q4" s="13" t="s">
        <x:v>201</x:v>
      </x:c>
      <x:c r="R4" s="13" t="s">
        <x:v>208</x:v>
      </x:c>
      <x:c r="S4" s="13" t="s">
        <x:v>98</x:v>
      </x:c>
      <x:c r="T4" s="13" t="s">
        <x:v>104</x:v>
      </x:c>
      <x:c r="U4" s="13" t="s">
        <x:v>203</x:v>
      </x:c>
      <x:c r="V4" s="13" t="s">
        <x:v>191</x:v>
      </x:c>
      <x:c r="W4" s="13" t="s">
        <x:v>210</x:v>
      </x:c>
      <x:c r="X4" s="13" t="s">
        <x:v>1</x:v>
      </x:c>
      <x:c r="Y4" s="13" t="s">
        <x:v>127</x:v>
      </x:c>
      <x:c r="Z4" s="13" t="s">
        <x:v>15</x:v>
      </x:c>
    </x:row>
    <x:row r="5" spans="1:26" ht="32.5" customHeight="1">
      <x:c r="A5" s="22" t="s">
        <x:v>29</x:v>
      </x:c>
      <x:c r="B5" s="14">
        <x:v>1</x:v>
      </x:c>
      <x:c r="C5" s="14" t="s">
        <x:v>60</x:v>
      </x:c>
      <x:c r="D5" s="12" t="s">
        <x:v>82</x:v>
      </x:c>
      <x:c r="E5" s="14" t="s">
        <x:v>252</x:v>
      </x:c>
      <x:c r="F5" s="15" t="s">
        <x:v>91</x:v>
      </x:c>
      <x:c r="G5" s="12" t="s">
        <x:v>68</x:v>
      </x:c>
      <x:c r="H5" s="12" t="s">
        <x:v>176</x:v>
      </x:c>
      <x:c r="I5" s="4">
        <x:v>519000000</x:v>
      </x:c>
      <x:c r="J5" s="4">
        <x:f t="shared" ref="J5:J12" si="0">I5*0.1</x:f>
        <x:v>51900000</x:v>
      </x:c>
      <x:c r="K5" s="4">
        <x:f t="shared" ref="K5:K12" si="1">I5+J5</x:f>
        <x:v>570900000</x:v>
      </x:c>
      <x:c r="L5" s="14" t="s">
        <x:v>8</x:v>
      </x:c>
      <x:c r="M5" s="15"/>
      <x:c r="N5" s="15"/>
      <x:c r="O5" s="5">
        <x:v>0.5</x:v>
      </x:c>
      <x:c r="P5" s="4">
        <x:f t="shared" ref="P5:P12" si="2">K5*O5</x:f>
        <x:v>285450000</x:v>
      </x:c>
      <x:c r="Q5" s="15"/>
      <x:c r="R5" s="14" t="s">
        <x:v>4</x:v>
      </x:c>
      <x:c r="S5" s="5">
        <x:f t="shared" ref="S5:S12" si="3">1-O5</x:f>
        <x:v>0.5</x:v>
      </x:c>
      <x:c r="T5" s="4">
        <x:f t="shared" ref="T5:T12" si="4">K5*S5</x:f>
        <x:v>285450000</x:v>
      </x:c>
      <x:c r="U5" s="15"/>
      <x:c r="V5" s="14" t="s">
        <x:v>4</x:v>
      </x:c>
      <x:c r="W5" s="5">
        <x:f t="shared" ref="W5:W12" si="5">IFERROR((IF(R5="수금",P5,0)+IF(V5="수금",T5,0))/K5,0)</x:f>
        <x:v>0</x:v>
      </x:c>
      <x:c r="X5" s="14" t="s">
        <x:v>129</x:v>
      </x:c>
      <x:c r="Y5" s="14" t="s">
        <x:v>164</x:v>
      </x:c>
      <x:c r="Z5" s="12" t="s">
        <x:v>115</x:v>
      </x:c>
    </x:row>
    <x:row r="6" spans="1:26" ht="32.5" customHeight="1">
      <x:c r="A6" s="22" t="s">
        <x:v>29</x:v>
      </x:c>
      <x:c r="B6" s="14">
        <x:v>2</x:v>
      </x:c>
      <x:c r="C6" s="14" t="s">
        <x:v>162</x:v>
      </x:c>
      <x:c r="D6" s="12" t="s">
        <x:v>82</x:v>
      </x:c>
      <x:c r="E6" s="14" t="s">
        <x:v>200</x:v>
      </x:c>
      <x:c r="F6" s="15" t="s">
        <x:v>94</x:v>
      </x:c>
      <x:c r="G6" s="12" t="s">
        <x:v>230</x:v>
      </x:c>
      <x:c r="H6" s="12" t="s">
        <x:v>93</x:v>
      </x:c>
      <x:c r="I6" s="4">
        <x:v>88000000</x:v>
      </x:c>
      <x:c r="J6" s="4">
        <x:f t="shared" si="0"/>
        <x:v>8800000</x:v>
      </x:c>
      <x:c r="K6" s="4">
        <x:f t="shared" si="1"/>
        <x:v>96800000</x:v>
      </x:c>
      <x:c r="L6" s="14" t="s">
        <x:v>8</x:v>
      </x:c>
      <x:c r="M6" s="15"/>
      <x:c r="N6" s="15"/>
      <x:c r="O6" s="5">
        <x:v>0.5</x:v>
      </x:c>
      <x:c r="P6" s="4">
        <x:f t="shared" si="2"/>
        <x:v>48400000</x:v>
      </x:c>
      <x:c r="Q6" s="15"/>
      <x:c r="R6" s="14" t="s">
        <x:v>4</x:v>
      </x:c>
      <x:c r="S6" s="5">
        <x:f t="shared" si="3"/>
        <x:v>0.5</x:v>
      </x:c>
      <x:c r="T6" s="4">
        <x:f t="shared" si="4"/>
        <x:v>48400000</x:v>
      </x:c>
      <x:c r="U6" s="15"/>
      <x:c r="V6" s="14" t="s">
        <x:v>4</x:v>
      </x:c>
      <x:c r="W6" s="5">
        <x:f t="shared" si="5"/>
        <x:v>0</x:v>
      </x:c>
      <x:c r="X6" s="14" t="s">
        <x:v>123</x:v>
      </x:c>
      <x:c r="Y6" s="14" t="s">
        <x:v>163</x:v>
      </x:c>
      <x:c r="Z6" s="12" t="s">
        <x:v>44</x:v>
      </x:c>
    </x:row>
    <x:row r="7" spans="1:26" ht="32.5" customHeight="1">
      <x:c r="A7" s="22" t="s">
        <x:v>29</x:v>
      </x:c>
      <x:c r="B7" s="14">
        <x:v>3</x:v>
      </x:c>
      <x:c r="C7" s="14" t="s">
        <x:v>51</x:v>
      </x:c>
      <x:c r="D7" s="12" t="s">
        <x:v>195</x:v>
      </x:c>
      <x:c r="E7" s="14" t="s">
        <x:v>252</x:v>
      </x:c>
      <x:c r="F7" s="15" t="s">
        <x:v>91</x:v>
      </x:c>
      <x:c r="G7" s="12" t="s">
        <x:v>27</x:v>
      </x:c>
      <x:c r="H7" s="12" t="s">
        <x:v>27</x:v>
      </x:c>
      <x:c r="I7" s="4">
        <x:v>62000000</x:v>
      </x:c>
      <x:c r="J7" s="4">
        <x:f t="shared" si="0"/>
        <x:v>6200000</x:v>
      </x:c>
      <x:c r="K7" s="4">
        <x:f t="shared" si="1"/>
        <x:v>68200000</x:v>
      </x:c>
      <x:c r="L7" s="14" t="s">
        <x:v>8</x:v>
      </x:c>
      <x:c r="M7" s="15"/>
      <x:c r="N7" s="15"/>
      <x:c r="O7" s="5">
        <x:v>0.5</x:v>
      </x:c>
      <x:c r="P7" s="4">
        <x:f t="shared" si="2"/>
        <x:v>34100000</x:v>
      </x:c>
      <x:c r="Q7" s="15"/>
      <x:c r="R7" s="14" t="s">
        <x:v>4</x:v>
      </x:c>
      <x:c r="S7" s="5">
        <x:f t="shared" si="3"/>
        <x:v>0.5</x:v>
      </x:c>
      <x:c r="T7" s="4">
        <x:f t="shared" si="4"/>
        <x:v>34100000</x:v>
      </x:c>
      <x:c r="U7" s="15"/>
      <x:c r="V7" s="14" t="s">
        <x:v>4</x:v>
      </x:c>
      <x:c r="W7" s="5">
        <x:f t="shared" si="5"/>
        <x:v>0</x:v>
      </x:c>
      <x:c r="X7" s="14" t="s">
        <x:v>129</x:v>
      </x:c>
      <x:c r="Y7" s="14" t="s">
        <x:v>164</x:v>
      </x:c>
      <x:c r="Z7" s="12" t="s">
        <x:v>263</x:v>
      </x:c>
    </x:row>
    <x:row r="8" spans="1:26" ht="32.5" customHeight="1">
      <x:c r="A8" s="22" t="s">
        <x:v>29</x:v>
      </x:c>
      <x:c r="B8" s="14">
        <x:v>4</x:v>
      </x:c>
      <x:c r="C8" s="14" t="s">
        <x:v>52</x:v>
      </x:c>
      <x:c r="D8" s="12" t="s">
        <x:v>215</x:v>
      </x:c>
      <x:c r="E8" s="14" t="s">
        <x:v>252</x:v>
      </x:c>
      <x:c r="F8" s="15" t="s">
        <x:v>91</x:v>
      </x:c>
      <x:c r="G8" s="12" t="s">
        <x:v>27</x:v>
      </x:c>
      <x:c r="H8" s="12" t="s">
        <x:v>27</x:v>
      </x:c>
      <x:c r="I8" s="4">
        <x:v>53000000</x:v>
      </x:c>
      <x:c r="J8" s="4">
        <x:f t="shared" si="0"/>
        <x:v>5300000</x:v>
      </x:c>
      <x:c r="K8" s="4">
        <x:f t="shared" si="1"/>
        <x:v>58300000</x:v>
      </x:c>
      <x:c r="L8" s="14" t="s">
        <x:v>8</x:v>
      </x:c>
      <x:c r="M8" s="15"/>
      <x:c r="N8" s="15"/>
      <x:c r="O8" s="5">
        <x:v>0.5</x:v>
      </x:c>
      <x:c r="P8" s="4">
        <x:f t="shared" si="2"/>
        <x:v>29150000</x:v>
      </x:c>
      <x:c r="Q8" s="15"/>
      <x:c r="R8" s="14" t="s">
        <x:v>4</x:v>
      </x:c>
      <x:c r="S8" s="5">
        <x:f t="shared" si="3"/>
        <x:v>0.5</x:v>
      </x:c>
      <x:c r="T8" s="4">
        <x:f t="shared" si="4"/>
        <x:v>29150000</x:v>
      </x:c>
      <x:c r="U8" s="15"/>
      <x:c r="V8" s="14" t="s">
        <x:v>4</x:v>
      </x:c>
      <x:c r="W8" s="5">
        <x:f t="shared" si="5"/>
        <x:v>0</x:v>
      </x:c>
      <x:c r="X8" s="14" t="s">
        <x:v>129</x:v>
      </x:c>
      <x:c r="Y8" s="14" t="s">
        <x:v>164</x:v>
      </x:c>
      <x:c r="Z8" s="12" t="s">
        <x:v>56</x:v>
      </x:c>
    </x:row>
    <x:row r="9" spans="1:26" ht="32.5" customHeight="1">
      <x:c r="A9" s="22" t="s">
        <x:v>29</x:v>
      </x:c>
      <x:c r="B9" s="14">
        <x:v>5</x:v>
      </x:c>
      <x:c r="C9" s="14" t="s">
        <x:v>63</x:v>
      </x:c>
      <x:c r="D9" s="12" t="s">
        <x:v>193</x:v>
      </x:c>
      <x:c r="E9" s="14" t="s">
        <x:v>252</x:v>
      </x:c>
      <x:c r="F9" s="15" t="s">
        <x:v>91</x:v>
      </x:c>
      <x:c r="G9" s="12" t="s">
        <x:v>27</x:v>
      </x:c>
      <x:c r="H9" s="12" t="s">
        <x:v>27</x:v>
      </x:c>
      <x:c r="I9" s="4">
        <x:v>52000000</x:v>
      </x:c>
      <x:c r="J9" s="4">
        <x:f t="shared" si="0"/>
        <x:v>5200000</x:v>
      </x:c>
      <x:c r="K9" s="4">
        <x:f t="shared" si="1"/>
        <x:v>57200000</x:v>
      </x:c>
      <x:c r="L9" s="14" t="s">
        <x:v>8</x:v>
      </x:c>
      <x:c r="M9" s="15"/>
      <x:c r="N9" s="15"/>
      <x:c r="O9" s="5">
        <x:v>0.5</x:v>
      </x:c>
      <x:c r="P9" s="4">
        <x:f t="shared" si="2"/>
        <x:v>28600000</x:v>
      </x:c>
      <x:c r="Q9" s="15"/>
      <x:c r="R9" s="14" t="s">
        <x:v>4</x:v>
      </x:c>
      <x:c r="S9" s="5">
        <x:f t="shared" si="3"/>
        <x:v>0.5</x:v>
      </x:c>
      <x:c r="T9" s="4">
        <x:f t="shared" si="4"/>
        <x:v>28600000</x:v>
      </x:c>
      <x:c r="U9" s="15"/>
      <x:c r="V9" s="14" t="s">
        <x:v>4</x:v>
      </x:c>
      <x:c r="W9" s="5">
        <x:f t="shared" si="5"/>
        <x:v>0</x:v>
      </x:c>
      <x:c r="X9" s="14" t="s">
        <x:v>129</x:v>
      </x:c>
      <x:c r="Y9" s="14" t="s">
        <x:v>164</x:v>
      </x:c>
      <x:c r="Z9" s="12" t="s">
        <x:v>59</x:v>
      </x:c>
    </x:row>
    <x:row r="10" spans="1:26" ht="32.5" customHeight="1">
      <x:c r="A10" s="22" t="s">
        <x:v>29</x:v>
      </x:c>
      <x:c r="B10" s="14">
        <x:v>6</x:v>
      </x:c>
      <x:c r="C10" s="14" t="s">
        <x:v>55</x:v>
      </x:c>
      <x:c r="D10" s="12" t="s">
        <x:v>199</x:v>
      </x:c>
      <x:c r="E10" s="14" t="s">
        <x:v>252</x:v>
      </x:c>
      <x:c r="F10" s="15" t="s">
        <x:v>91</x:v>
      </x:c>
      <x:c r="G10" s="12" t="s">
        <x:v>27</x:v>
      </x:c>
      <x:c r="H10" s="12" t="s">
        <x:v>27</x:v>
      </x:c>
      <x:c r="I10" s="4">
        <x:v>46000000</x:v>
      </x:c>
      <x:c r="J10" s="4">
        <x:f t="shared" si="0"/>
        <x:v>4600000</x:v>
      </x:c>
      <x:c r="K10" s="4">
        <x:f t="shared" si="1"/>
        <x:v>50600000</x:v>
      </x:c>
      <x:c r="L10" s="14" t="s">
        <x:v>8</x:v>
      </x:c>
      <x:c r="M10" s="15"/>
      <x:c r="N10" s="15"/>
      <x:c r="O10" s="5">
        <x:v>0.5</x:v>
      </x:c>
      <x:c r="P10" s="4">
        <x:f t="shared" si="2"/>
        <x:v>25300000</x:v>
      </x:c>
      <x:c r="Q10" s="15"/>
      <x:c r="R10" s="14" t="s">
        <x:v>4</x:v>
      </x:c>
      <x:c r="S10" s="5">
        <x:f t="shared" si="3"/>
        <x:v>0.5</x:v>
      </x:c>
      <x:c r="T10" s="4">
        <x:f t="shared" si="4"/>
        <x:v>25300000</x:v>
      </x:c>
      <x:c r="U10" s="15"/>
      <x:c r="V10" s="14" t="s">
        <x:v>4</x:v>
      </x:c>
      <x:c r="W10" s="5">
        <x:f t="shared" si="5"/>
        <x:v>0</x:v>
      </x:c>
      <x:c r="X10" s="14" t="s">
        <x:v>129</x:v>
      </x:c>
      <x:c r="Y10" s="14" t="s">
        <x:v>164</x:v>
      </x:c>
      <x:c r="Z10" s="12" t="s">
        <x:v>255</x:v>
      </x:c>
    </x:row>
    <x:row r="11" spans="1:26" ht="32.5" customHeight="1">
      <x:c r="A11" s="23" t="s">
        <x:v>24</x:v>
      </x:c>
      <x:c r="B11" s="14">
        <x:v>7</x:v>
      </x:c>
      <x:c r="C11" s="14" t="s">
        <x:v>67</x:v>
      </x:c>
      <x:c r="D11" s="12" t="s">
        <x:v>249</x:v>
      </x:c>
      <x:c r="E11" s="14" t="s">
        <x:v>252</x:v>
      </x:c>
      <x:c r="F11" s="15" t="s">
        <x:v>87</x:v>
      </x:c>
      <x:c r="G11" s="12" t="s">
        <x:v>89</x:v>
      </x:c>
      <x:c r="H11" s="12" t="s">
        <x:v>65</x:v>
      </x:c>
      <x:c r="I11" s="4">
        <x:v>70000000</x:v>
      </x:c>
      <x:c r="J11" s="4">
        <x:f t="shared" si="0"/>
        <x:v>7000000</x:v>
      </x:c>
      <x:c r="K11" s="4">
        <x:f t="shared" si="1"/>
        <x:v>77000000</x:v>
      </x:c>
      <x:c r="L11" s="14" t="s">
        <x:v>8</x:v>
      </x:c>
      <x:c r="M11" s="15"/>
      <x:c r="N11" s="15"/>
      <x:c r="O11" s="5">
        <x:v>0.5</x:v>
      </x:c>
      <x:c r="P11" s="4">
        <x:f t="shared" si="2"/>
        <x:v>38500000</x:v>
      </x:c>
      <x:c r="Q11" s="15"/>
      <x:c r="R11" s="14" t="s">
        <x:v>4</x:v>
      </x:c>
      <x:c r="S11" s="5">
        <x:f t="shared" si="3"/>
        <x:v>0.5</x:v>
      </x:c>
      <x:c r="T11" s="4">
        <x:f t="shared" si="4"/>
        <x:v>38500000</x:v>
      </x:c>
      <x:c r="U11" s="15"/>
      <x:c r="V11" s="14" t="s">
        <x:v>4</x:v>
      </x:c>
      <x:c r="W11" s="5">
        <x:f t="shared" si="5"/>
        <x:v>0</x:v>
      </x:c>
      <x:c r="X11" s="14" t="s">
        <x:v>129</x:v>
      </x:c>
      <x:c r="Y11" s="14" t="s">
        <x:v>164</x:v>
      </x:c>
      <x:c r="Z11" s="12" t="s">
        <x:v>36</x:v>
      </x:c>
    </x:row>
    <x:row r="12" spans="1:26" ht="32.5" customHeight="1">
      <x:c r="A12" s="23" t="s">
        <x:v>24</x:v>
      </x:c>
      <x:c r="B12" s="14">
        <x:v>8</x:v>
      </x:c>
      <x:c r="C12" s="14" t="s">
        <x:v>62</x:v>
      </x:c>
      <x:c r="D12" s="12" t="s">
        <x:v>242</x:v>
      </x:c>
      <x:c r="E12" s="14" t="s">
        <x:v>252</x:v>
      </x:c>
      <x:c r="F12" s="15" t="s">
        <x:v>87</x:v>
      </x:c>
      <x:c r="G12" s="12" t="s">
        <x:v>89</x:v>
      </x:c>
      <x:c r="H12" s="12" t="s">
        <x:v>65</x:v>
      </x:c>
      <x:c r="I12" s="4">
        <x:v>70000000</x:v>
      </x:c>
      <x:c r="J12" s="4">
        <x:f t="shared" si="0"/>
        <x:v>7000000</x:v>
      </x:c>
      <x:c r="K12" s="4">
        <x:f t="shared" si="1"/>
        <x:v>77000000</x:v>
      </x:c>
      <x:c r="L12" s="14" t="s">
        <x:v>8</x:v>
      </x:c>
      <x:c r="M12" s="15"/>
      <x:c r="N12" s="15"/>
      <x:c r="O12" s="5">
        <x:v>0.5</x:v>
      </x:c>
      <x:c r="P12" s="4">
        <x:f t="shared" si="2"/>
        <x:v>38500000</x:v>
      </x:c>
      <x:c r="Q12" s="15"/>
      <x:c r="R12" s="14" t="s">
        <x:v>4</x:v>
      </x:c>
      <x:c r="S12" s="5">
        <x:f t="shared" si="3"/>
        <x:v>0.5</x:v>
      </x:c>
      <x:c r="T12" s="4">
        <x:f t="shared" si="4"/>
        <x:v>38500000</x:v>
      </x:c>
      <x:c r="U12" s="15"/>
      <x:c r="V12" s="14" t="s">
        <x:v>4</x:v>
      </x:c>
      <x:c r="W12" s="5">
        <x:f t="shared" si="5"/>
        <x:v>0</x:v>
      </x:c>
      <x:c r="X12" s="14" t="s">
        <x:v>129</x:v>
      </x:c>
      <x:c r="Y12" s="14" t="s">
        <x:v>164</x:v>
      </x:c>
      <x:c r="Z12" s="12" t="s">
        <x:v>36</x:v>
      </x:c>
    </x:row>
    <x:row r="13" spans="1:26" ht="26.35000000000000142109">
      <x:c r="A13" s="14" t="s">
        <x:v>0</x:v>
      </x:c>
      <x:c r="B13" s="14"/>
      <x:c r="C13" s="14"/>
      <x:c r="D13" s="12" t="s">
        <x:v>183</x:v>
      </x:c>
      <x:c r="E13" s="14"/>
      <x:c r="F13" s="15"/>
      <x:c r="G13" s="12"/>
      <x:c r="H13" s="12"/>
      <x:c r="I13" s="4"/>
      <x:c r="J13" s="4" t="str">
        <x:f t="shared" ref="J13:J54" si="6">IF(I13="","",I13*0.1)</x:f>
        <x:v/>
      </x:c>
      <x:c r="K13" s="4" t="str">
        <x:f t="shared" ref="K13:K54" si="7">IF(I13="","",I13+J13)</x:f>
        <x:v/>
      </x:c>
      <x:c r="L13" s="14"/>
      <x:c r="M13" s="15"/>
      <x:c r="N13" s="15"/>
      <x:c r="O13" s="5"/>
      <x:c r="P13" s="4" t="str">
        <x:f t="shared" ref="P13:P54" si="8">IF(AND(K13&lt;&gt;"",O13&lt;&gt;""),K13*O13,"")</x:f>
        <x:v/>
      </x:c>
      <x:c r="Q13" s="15"/>
      <x:c r="R13" s="14"/>
      <x:c r="S13" s="5" t="str">
        <x:f t="shared" ref="S13:S54" si="9">IF(O13="","",1-O13)</x:f>
        <x:v/>
      </x:c>
      <x:c r="T13" s="4" t="str">
        <x:f t="shared" ref="T13:T54" si="10">IF(AND(K13&lt;&gt;"",S13&lt;&gt;""),K13*S13,"")</x:f>
        <x:v/>
      </x:c>
      <x:c r="U13" s="15"/>
      <x:c r="V13" s="14"/>
      <x:c r="W13" s="5" t="str">
        <x:f t="shared" ref="W13:W54" si="11">IF(K13="","",IFERROR((IF(R13="수금",P13,0)+IF(V13="수금",T13,0))/K13,0))</x:f>
        <x:v/>
      </x:c>
      <x:c r="X13" s="14"/>
      <x:c r="Y13" s="14"/>
      <x:c r="Z13" s="12"/>
    </x:row>
    <x:row r="14" spans="1:26">
      <x:c r="A14" s="14" t="s">
        <x:v>11</x:v>
      </x:c>
      <x:c r="B14" s="14"/>
      <x:c r="C14" s="14"/>
      <x:c r="D14" s="12" t="s">
        <x:v>215</x:v>
      </x:c>
      <x:c r="E14" s="14"/>
      <x:c r="F14" s="15"/>
      <x:c r="G14" s="12"/>
      <x:c r="H14" s="12"/>
      <x:c r="I14" s="4"/>
      <x:c r="J14" s="4" t="str">
        <x:f t="shared" si="6"/>
        <x:v/>
      </x:c>
      <x:c r="K14" s="4" t="str">
        <x:f t="shared" si="7"/>
        <x:v/>
      </x:c>
      <x:c r="L14" s="14"/>
      <x:c r="M14" s="15"/>
      <x:c r="N14" s="15"/>
      <x:c r="O14" s="5"/>
      <x:c r="P14" s="4" t="str">
        <x:f t="shared" si="8"/>
        <x:v/>
      </x:c>
      <x:c r="Q14" s="15"/>
      <x:c r="R14" s="14"/>
      <x:c r="S14" s="5" t="str">
        <x:f t="shared" si="9"/>
        <x:v/>
      </x:c>
      <x:c r="T14" s="4" t="str">
        <x:f t="shared" si="10"/>
        <x:v/>
      </x:c>
      <x:c r="U14" s="15"/>
      <x:c r="V14" s="14"/>
      <x:c r="W14" s="5" t="str">
        <x:f t="shared" si="11"/>
        <x:v/>
      </x:c>
      <x:c r="X14" s="14"/>
      <x:c r="Y14" s="14"/>
      <x:c r="Z14" s="12"/>
    </x:row>
    <x:row r="15" spans="1:26">
      <x:c r="A15" s="14" t="s">
        <x:v>10</x:v>
      </x:c>
      <x:c r="B15" s="14"/>
      <x:c r="C15" s="14"/>
      <x:c r="D15" s="12" t="s">
        <x:v>185</x:v>
      </x:c>
      <x:c r="E15" s="14"/>
      <x:c r="F15" s="15"/>
      <x:c r="G15" s="12"/>
      <x:c r="H15" s="12"/>
      <x:c r="I15" s="4"/>
      <x:c r="J15" s="4" t="str">
        <x:f t="shared" si="6"/>
        <x:v/>
      </x:c>
      <x:c r="K15" s="4" t="str">
        <x:f t="shared" si="7"/>
        <x:v/>
      </x:c>
      <x:c r="L15" s="14"/>
      <x:c r="M15" s="15"/>
      <x:c r="N15" s="15"/>
      <x:c r="O15" s="5"/>
      <x:c r="P15" s="4" t="str">
        <x:f t="shared" si="8"/>
        <x:v/>
      </x:c>
      <x:c r="Q15" s="15"/>
      <x:c r="R15" s="14"/>
      <x:c r="S15" s="5" t="str">
        <x:f t="shared" si="9"/>
        <x:v/>
      </x:c>
      <x:c r="T15" s="4" t="str">
        <x:f t="shared" si="10"/>
        <x:v/>
      </x:c>
      <x:c r="U15" s="15"/>
      <x:c r="V15" s="14"/>
      <x:c r="W15" s="5" t="str">
        <x:f t="shared" si="11"/>
        <x:v/>
      </x:c>
      <x:c r="X15" s="14"/>
      <x:c r="Y15" s="14"/>
      <x:c r="Z15" s="12"/>
    </x:row>
    <x:row r="16" spans="1:26" ht="26.35000000000000142109">
      <x:c r="A16" s="14" t="s">
        <x:v>266</x:v>
      </x:c>
      <x:c r="B16" s="14"/>
      <x:c r="C16" s="14"/>
      <x:c r="D16" s="12" t="s">
        <x:v>249</x:v>
      </x:c>
      <x:c r="E16" s="14"/>
      <x:c r="F16" s="15"/>
      <x:c r="G16" s="12"/>
      <x:c r="H16" s="12"/>
      <x:c r="I16" s="4"/>
      <x:c r="J16" s="4" t="str">
        <x:f t="shared" si="6"/>
        <x:v/>
      </x:c>
      <x:c r="K16" s="4" t="str">
        <x:f t="shared" si="7"/>
        <x:v/>
      </x:c>
      <x:c r="L16" s="14"/>
      <x:c r="M16" s="15"/>
      <x:c r="N16" s="15"/>
      <x:c r="O16" s="5"/>
      <x:c r="P16" s="4" t="str">
        <x:f t="shared" si="8"/>
        <x:v/>
      </x:c>
      <x:c r="Q16" s="15"/>
      <x:c r="R16" s="14"/>
      <x:c r="S16" s="5" t="str">
        <x:f t="shared" si="9"/>
        <x:v/>
      </x:c>
      <x:c r="T16" s="4" t="str">
        <x:f t="shared" si="10"/>
        <x:v/>
      </x:c>
      <x:c r="U16" s="15"/>
      <x:c r="V16" s="14"/>
      <x:c r="W16" s="5" t="str">
        <x:f t="shared" si="11"/>
        <x:v/>
      </x:c>
      <x:c r="X16" s="14"/>
      <x:c r="Y16" s="14"/>
      <x:c r="Z16" s="12"/>
    </x:row>
    <x:row r="17" spans="1:26">
      <x:c r="A17" s="14" t="s">
        <x:v>11</x:v>
      </x:c>
      <x:c r="B17" s="14"/>
      <x:c r="C17" s="14"/>
      <x:c r="D17" s="12" t="s">
        <x:v>184</x:v>
      </x:c>
      <x:c r="E17" s="14"/>
      <x:c r="F17" s="15"/>
      <x:c r="G17" s="12"/>
      <x:c r="H17" s="12"/>
      <x:c r="I17" s="4"/>
      <x:c r="J17" s="4" t="str">
        <x:f t="shared" si="6"/>
        <x:v/>
      </x:c>
      <x:c r="K17" s="4" t="str">
        <x:f t="shared" si="7"/>
        <x:v/>
      </x:c>
      <x:c r="L17" s="14"/>
      <x:c r="M17" s="15"/>
      <x:c r="N17" s="15"/>
      <x:c r="O17" s="5"/>
      <x:c r="P17" s="4" t="str">
        <x:f t="shared" si="8"/>
        <x:v/>
      </x:c>
      <x:c r="Q17" s="15"/>
      <x:c r="R17" s="14"/>
      <x:c r="S17" s="5" t="str">
        <x:f t="shared" si="9"/>
        <x:v/>
      </x:c>
      <x:c r="T17" s="4" t="str">
        <x:f t="shared" si="10"/>
        <x:v/>
      </x:c>
      <x:c r="U17" s="15"/>
      <x:c r="V17" s="14"/>
      <x:c r="W17" s="5" t="str">
        <x:f t="shared" si="11"/>
        <x:v/>
      </x:c>
      <x:c r="X17" s="14"/>
      <x:c r="Y17" s="14"/>
      <x:c r="Z17" s="12"/>
    </x:row>
    <x:row r="18" spans="1:26">
      <x:c r="A18" s="14"/>
      <x:c r="B18" s="14"/>
      <x:c r="C18" s="14"/>
      <x:c r="D18" s="12"/>
      <x:c r="E18" s="14"/>
      <x:c r="F18" s="15"/>
      <x:c r="G18" s="12"/>
      <x:c r="H18" s="12"/>
      <x:c r="I18" s="4"/>
      <x:c r="J18" s="4" t="str">
        <x:f t="shared" si="6"/>
        <x:v/>
      </x:c>
      <x:c r="K18" s="4" t="str">
        <x:f t="shared" si="7"/>
        <x:v/>
      </x:c>
      <x:c r="L18" s="14"/>
      <x:c r="M18" s="15"/>
      <x:c r="N18" s="15"/>
      <x:c r="O18" s="5"/>
      <x:c r="P18" s="4" t="str">
        <x:f t="shared" si="8"/>
        <x:v/>
      </x:c>
      <x:c r="Q18" s="15"/>
      <x:c r="R18" s="14"/>
      <x:c r="S18" s="5" t="str">
        <x:f t="shared" si="9"/>
        <x:v/>
      </x:c>
      <x:c r="T18" s="4" t="str">
        <x:f t="shared" si="10"/>
        <x:v/>
      </x:c>
      <x:c r="U18" s="15"/>
      <x:c r="V18" s="14"/>
      <x:c r="W18" s="5" t="str">
        <x:f t="shared" si="11"/>
        <x:v/>
      </x:c>
      <x:c r="X18" s="14"/>
      <x:c r="Y18" s="14"/>
      <x:c r="Z18" s="12"/>
    </x:row>
    <x:row r="19" spans="1:26">
      <x:c r="A19" s="14"/>
      <x:c r="B19" s="14"/>
      <x:c r="C19" s="14"/>
      <x:c r="D19" s="12"/>
      <x:c r="E19" s="14"/>
      <x:c r="F19" s="15"/>
      <x:c r="G19" s="12"/>
      <x:c r="H19" s="12"/>
      <x:c r="I19" s="4"/>
      <x:c r="J19" s="4" t="str">
        <x:f t="shared" si="6"/>
        <x:v/>
      </x:c>
      <x:c r="K19" s="4" t="str">
        <x:f t="shared" si="7"/>
        <x:v/>
      </x:c>
      <x:c r="L19" s="14"/>
      <x:c r="M19" s="15"/>
      <x:c r="N19" s="15"/>
      <x:c r="O19" s="5"/>
      <x:c r="P19" s="4" t="str">
        <x:f t="shared" si="8"/>
        <x:v/>
      </x:c>
      <x:c r="Q19" s="15"/>
      <x:c r="R19" s="14"/>
      <x:c r="S19" s="5" t="str">
        <x:f t="shared" si="9"/>
        <x:v/>
      </x:c>
      <x:c r="T19" s="4" t="str">
        <x:f t="shared" si="10"/>
        <x:v/>
      </x:c>
      <x:c r="U19" s="15"/>
      <x:c r="V19" s="14"/>
      <x:c r="W19" s="5" t="str">
        <x:f t="shared" si="11"/>
        <x:v/>
      </x:c>
      <x:c r="X19" s="14"/>
      <x:c r="Y19" s="14"/>
      <x:c r="Z19" s="12"/>
    </x:row>
    <x:row r="20" spans="1:26">
      <x:c r="A20" s="14"/>
      <x:c r="B20" s="14"/>
      <x:c r="C20" s="14"/>
      <x:c r="D20" s="12"/>
      <x:c r="E20" s="14"/>
      <x:c r="F20" s="15"/>
      <x:c r="G20" s="12"/>
      <x:c r="H20" s="12"/>
      <x:c r="I20" s="4"/>
      <x:c r="J20" s="4" t="str">
        <x:f t="shared" si="6"/>
        <x:v/>
      </x:c>
      <x:c r="K20" s="4" t="str">
        <x:f t="shared" si="7"/>
        <x:v/>
      </x:c>
      <x:c r="L20" s="14"/>
      <x:c r="M20" s="15"/>
      <x:c r="N20" s="15"/>
      <x:c r="O20" s="5"/>
      <x:c r="P20" s="4" t="str">
        <x:f t="shared" si="8"/>
        <x:v/>
      </x:c>
      <x:c r="Q20" s="15"/>
      <x:c r="R20" s="14"/>
      <x:c r="S20" s="5" t="str">
        <x:f t="shared" si="9"/>
        <x:v/>
      </x:c>
      <x:c r="T20" s="4" t="str">
        <x:f t="shared" si="10"/>
        <x:v/>
      </x:c>
      <x:c r="U20" s="15"/>
      <x:c r="V20" s="14"/>
      <x:c r="W20" s="5" t="str">
        <x:f t="shared" si="11"/>
        <x:v/>
      </x:c>
      <x:c r="X20" s="14"/>
      <x:c r="Y20" s="14"/>
      <x:c r="Z20" s="12"/>
    </x:row>
    <x:row r="21" spans="1:26">
      <x:c r="A21" s="14"/>
      <x:c r="B21" s="14"/>
      <x:c r="C21" s="14"/>
      <x:c r="D21" s="12"/>
      <x:c r="E21" s="14"/>
      <x:c r="F21" s="15"/>
      <x:c r="G21" s="12"/>
      <x:c r="H21" s="12"/>
      <x:c r="I21" s="4"/>
      <x:c r="J21" s="4" t="str">
        <x:f t="shared" si="6"/>
        <x:v/>
      </x:c>
      <x:c r="K21" s="4" t="str">
        <x:f t="shared" si="7"/>
        <x:v/>
      </x:c>
      <x:c r="L21" s="14"/>
      <x:c r="M21" s="15"/>
      <x:c r="N21" s="15"/>
      <x:c r="O21" s="5"/>
      <x:c r="P21" s="4" t="str">
        <x:f t="shared" si="8"/>
        <x:v/>
      </x:c>
      <x:c r="Q21" s="15"/>
      <x:c r="R21" s="14"/>
      <x:c r="S21" s="5" t="str">
        <x:f t="shared" si="9"/>
        <x:v/>
      </x:c>
      <x:c r="T21" s="4" t="str">
        <x:f t="shared" si="10"/>
        <x:v/>
      </x:c>
      <x:c r="U21" s="15"/>
      <x:c r="V21" s="14"/>
      <x:c r="W21" s="5" t="str">
        <x:f t="shared" si="11"/>
        <x:v/>
      </x:c>
      <x:c r="X21" s="14"/>
      <x:c r="Y21" s="14"/>
      <x:c r="Z21" s="12"/>
    </x:row>
    <x:row r="22" spans="1:26">
      <x:c r="A22" s="14"/>
      <x:c r="B22" s="14"/>
      <x:c r="C22" s="14"/>
      <x:c r="D22" s="12"/>
      <x:c r="E22" s="14"/>
      <x:c r="F22" s="15"/>
      <x:c r="G22" s="12"/>
      <x:c r="H22" s="12"/>
      <x:c r="I22" s="4"/>
      <x:c r="J22" s="4" t="str">
        <x:f t="shared" si="6"/>
        <x:v/>
      </x:c>
      <x:c r="K22" s="4" t="str">
        <x:f t="shared" si="7"/>
        <x:v/>
      </x:c>
      <x:c r="L22" s="14"/>
      <x:c r="M22" s="15"/>
      <x:c r="N22" s="15"/>
      <x:c r="O22" s="5"/>
      <x:c r="P22" s="4" t="str">
        <x:f t="shared" si="8"/>
        <x:v/>
      </x:c>
      <x:c r="Q22" s="15"/>
      <x:c r="R22" s="14"/>
      <x:c r="S22" s="5" t="str">
        <x:f t="shared" si="9"/>
        <x:v/>
      </x:c>
      <x:c r="T22" s="4" t="str">
        <x:f t="shared" si="10"/>
        <x:v/>
      </x:c>
      <x:c r="U22" s="15"/>
      <x:c r="V22" s="14"/>
      <x:c r="W22" s="5" t="str">
        <x:f t="shared" si="11"/>
        <x:v/>
      </x:c>
      <x:c r="X22" s="14"/>
      <x:c r="Y22" s="14"/>
      <x:c r="Z22" s="12"/>
    </x:row>
    <x:row r="23" spans="1:26">
      <x:c r="A23" s="14"/>
      <x:c r="B23" s="14"/>
      <x:c r="C23" s="14"/>
      <x:c r="D23" s="12"/>
      <x:c r="E23" s="14"/>
      <x:c r="F23" s="15"/>
      <x:c r="G23" s="12"/>
      <x:c r="H23" s="12"/>
      <x:c r="I23" s="4"/>
      <x:c r="J23" s="4" t="str">
        <x:f t="shared" si="6"/>
        <x:v/>
      </x:c>
      <x:c r="K23" s="4" t="str">
        <x:f t="shared" si="7"/>
        <x:v/>
      </x:c>
      <x:c r="L23" s="14"/>
      <x:c r="M23" s="15"/>
      <x:c r="N23" s="15"/>
      <x:c r="O23" s="5"/>
      <x:c r="P23" s="4" t="str">
        <x:f t="shared" si="8"/>
        <x:v/>
      </x:c>
      <x:c r="Q23" s="15"/>
      <x:c r="R23" s="14"/>
      <x:c r="S23" s="5" t="str">
        <x:f t="shared" si="9"/>
        <x:v/>
      </x:c>
      <x:c r="T23" s="4" t="str">
        <x:f t="shared" si="10"/>
        <x:v/>
      </x:c>
      <x:c r="U23" s="15"/>
      <x:c r="V23" s="14"/>
      <x:c r="W23" s="5" t="str">
        <x:f t="shared" si="11"/>
        <x:v/>
      </x:c>
      <x:c r="X23" s="14"/>
      <x:c r="Y23" s="14"/>
      <x:c r="Z23" s="12"/>
    </x:row>
    <x:row r="24" spans="1:26">
      <x:c r="A24" s="14"/>
      <x:c r="B24" s="14"/>
      <x:c r="C24" s="14"/>
      <x:c r="D24" s="12"/>
      <x:c r="E24" s="14"/>
      <x:c r="F24" s="15"/>
      <x:c r="G24" s="12"/>
      <x:c r="H24" s="12"/>
      <x:c r="I24" s="4"/>
      <x:c r="J24" s="4" t="str">
        <x:f t="shared" si="6"/>
        <x:v/>
      </x:c>
      <x:c r="K24" s="4" t="str">
        <x:f t="shared" si="7"/>
        <x:v/>
      </x:c>
      <x:c r="L24" s="14"/>
      <x:c r="M24" s="15"/>
      <x:c r="N24" s="15"/>
      <x:c r="O24" s="5"/>
      <x:c r="P24" s="4" t="str">
        <x:f t="shared" si="8"/>
        <x:v/>
      </x:c>
      <x:c r="Q24" s="15"/>
      <x:c r="R24" s="14"/>
      <x:c r="S24" s="5" t="str">
        <x:f t="shared" si="9"/>
        <x:v/>
      </x:c>
      <x:c r="T24" s="4" t="str">
        <x:f t="shared" si="10"/>
        <x:v/>
      </x:c>
      <x:c r="U24" s="15"/>
      <x:c r="V24" s="14"/>
      <x:c r="W24" s="5" t="str">
        <x:f t="shared" si="11"/>
        <x:v/>
      </x:c>
      <x:c r="X24" s="14"/>
      <x:c r="Y24" s="14"/>
      <x:c r="Z24" s="12"/>
    </x:row>
    <x:row r="25" spans="1:26">
      <x:c r="A25" s="14"/>
      <x:c r="B25" s="14"/>
      <x:c r="C25" s="14"/>
      <x:c r="D25" s="12"/>
      <x:c r="E25" s="14"/>
      <x:c r="F25" s="15"/>
      <x:c r="G25" s="12"/>
      <x:c r="H25" s="12"/>
      <x:c r="I25" s="4"/>
      <x:c r="J25" s="4" t="str">
        <x:f t="shared" si="6"/>
        <x:v/>
      </x:c>
      <x:c r="K25" s="4" t="str">
        <x:f t="shared" si="7"/>
        <x:v/>
      </x:c>
      <x:c r="L25" s="14"/>
      <x:c r="M25" s="15"/>
      <x:c r="N25" s="15"/>
      <x:c r="O25" s="5"/>
      <x:c r="P25" s="4" t="str">
        <x:f t="shared" si="8"/>
        <x:v/>
      </x:c>
      <x:c r="Q25" s="15"/>
      <x:c r="R25" s="14"/>
      <x:c r="S25" s="5" t="str">
        <x:f t="shared" si="9"/>
        <x:v/>
      </x:c>
      <x:c r="T25" s="4" t="str">
        <x:f t="shared" si="10"/>
        <x:v/>
      </x:c>
      <x:c r="U25" s="15"/>
      <x:c r="V25" s="14"/>
      <x:c r="W25" s="5" t="str">
        <x:f t="shared" si="11"/>
        <x:v/>
      </x:c>
      <x:c r="X25" s="14"/>
      <x:c r="Y25" s="14"/>
      <x:c r="Z25" s="12"/>
    </x:row>
    <x:row r="26" spans="1:26">
      <x:c r="A26" s="14"/>
      <x:c r="B26" s="14"/>
      <x:c r="C26" s="14"/>
      <x:c r="D26" s="12"/>
      <x:c r="E26" s="14"/>
      <x:c r="F26" s="15"/>
      <x:c r="G26" s="12"/>
      <x:c r="H26" s="12"/>
      <x:c r="I26" s="4"/>
      <x:c r="J26" s="4" t="str">
        <x:f t="shared" si="6"/>
        <x:v/>
      </x:c>
      <x:c r="K26" s="4" t="str">
        <x:f t="shared" si="7"/>
        <x:v/>
      </x:c>
      <x:c r="L26" s="14"/>
      <x:c r="M26" s="15"/>
      <x:c r="N26" s="15"/>
      <x:c r="O26" s="5"/>
      <x:c r="P26" s="4" t="str">
        <x:f t="shared" si="8"/>
        <x:v/>
      </x:c>
      <x:c r="Q26" s="15"/>
      <x:c r="R26" s="14"/>
      <x:c r="S26" s="5" t="str">
        <x:f t="shared" si="9"/>
        <x:v/>
      </x:c>
      <x:c r="T26" s="4" t="str">
        <x:f t="shared" si="10"/>
        <x:v/>
      </x:c>
      <x:c r="U26" s="15"/>
      <x:c r="V26" s="14"/>
      <x:c r="W26" s="5" t="str">
        <x:f t="shared" si="11"/>
        <x:v/>
      </x:c>
      <x:c r="X26" s="14"/>
      <x:c r="Y26" s="14"/>
      <x:c r="Z26" s="12"/>
    </x:row>
    <x:row r="27" spans="1:26">
      <x:c r="A27" s="14"/>
      <x:c r="B27" s="14"/>
      <x:c r="C27" s="14"/>
      <x:c r="D27" s="12"/>
      <x:c r="E27" s="14"/>
      <x:c r="F27" s="15"/>
      <x:c r="G27" s="12"/>
      <x:c r="H27" s="12"/>
      <x:c r="I27" s="4"/>
      <x:c r="J27" s="4" t="str">
        <x:f t="shared" si="6"/>
        <x:v/>
      </x:c>
      <x:c r="K27" s="4" t="str">
        <x:f t="shared" si="7"/>
        <x:v/>
      </x:c>
      <x:c r="L27" s="14"/>
      <x:c r="M27" s="15"/>
      <x:c r="N27" s="15"/>
      <x:c r="O27" s="5"/>
      <x:c r="P27" s="4" t="str">
        <x:f t="shared" si="8"/>
        <x:v/>
      </x:c>
      <x:c r="Q27" s="15"/>
      <x:c r="R27" s="14"/>
      <x:c r="S27" s="5" t="str">
        <x:f t="shared" si="9"/>
        <x:v/>
      </x:c>
      <x:c r="T27" s="4" t="str">
        <x:f t="shared" si="10"/>
        <x:v/>
      </x:c>
      <x:c r="U27" s="15"/>
      <x:c r="V27" s="14"/>
      <x:c r="W27" s="5" t="str">
        <x:f t="shared" si="11"/>
        <x:v/>
      </x:c>
      <x:c r="X27" s="14"/>
      <x:c r="Y27" s="14"/>
      <x:c r="Z27" s="12"/>
    </x:row>
    <x:row r="28" spans="1:26">
      <x:c r="A28" s="14"/>
      <x:c r="B28" s="14"/>
      <x:c r="C28" s="14"/>
      <x:c r="D28" s="12"/>
      <x:c r="E28" s="14"/>
      <x:c r="F28" s="15"/>
      <x:c r="G28" s="12"/>
      <x:c r="H28" s="12"/>
      <x:c r="I28" s="4"/>
      <x:c r="J28" s="4" t="str">
        <x:f t="shared" si="6"/>
        <x:v/>
      </x:c>
      <x:c r="K28" s="4" t="str">
        <x:f t="shared" si="7"/>
        <x:v/>
      </x:c>
      <x:c r="L28" s="14"/>
      <x:c r="M28" s="15"/>
      <x:c r="N28" s="15"/>
      <x:c r="O28" s="5"/>
      <x:c r="P28" s="4" t="str">
        <x:f t="shared" si="8"/>
        <x:v/>
      </x:c>
      <x:c r="Q28" s="15"/>
      <x:c r="R28" s="14"/>
      <x:c r="S28" s="5" t="str">
        <x:f t="shared" si="9"/>
        <x:v/>
      </x:c>
      <x:c r="T28" s="4" t="str">
        <x:f t="shared" si="10"/>
        <x:v/>
      </x:c>
      <x:c r="U28" s="15"/>
      <x:c r="V28" s="14"/>
      <x:c r="W28" s="5" t="str">
        <x:f t="shared" si="11"/>
        <x:v/>
      </x:c>
      <x:c r="X28" s="14"/>
      <x:c r="Y28" s="14"/>
      <x:c r="Z28" s="12"/>
    </x:row>
    <x:row r="29" spans="1:26">
      <x:c r="A29" s="14"/>
      <x:c r="B29" s="14"/>
      <x:c r="C29" s="14"/>
      <x:c r="D29" s="12"/>
      <x:c r="E29" s="14"/>
      <x:c r="F29" s="15"/>
      <x:c r="G29" s="12"/>
      <x:c r="H29" s="12"/>
      <x:c r="I29" s="4"/>
      <x:c r="J29" s="4" t="str">
        <x:f t="shared" si="6"/>
        <x:v/>
      </x:c>
      <x:c r="K29" s="4" t="str">
        <x:f t="shared" si="7"/>
        <x:v/>
      </x:c>
      <x:c r="L29" s="14"/>
      <x:c r="M29" s="15"/>
      <x:c r="N29" s="15"/>
      <x:c r="O29" s="5"/>
      <x:c r="P29" s="4" t="str">
        <x:f t="shared" si="8"/>
        <x:v/>
      </x:c>
      <x:c r="Q29" s="15"/>
      <x:c r="R29" s="14"/>
      <x:c r="S29" s="5" t="str">
        <x:f t="shared" si="9"/>
        <x:v/>
      </x:c>
      <x:c r="T29" s="4" t="str">
        <x:f t="shared" si="10"/>
        <x:v/>
      </x:c>
      <x:c r="U29" s="15"/>
      <x:c r="V29" s="14"/>
      <x:c r="W29" s="5" t="str">
        <x:f t="shared" si="11"/>
        <x:v/>
      </x:c>
      <x:c r="X29" s="14"/>
      <x:c r="Y29" s="14"/>
      <x:c r="Z29" s="12"/>
    </x:row>
    <x:row r="30" spans="1:26">
      <x:c r="A30" s="14"/>
      <x:c r="B30" s="14"/>
      <x:c r="C30" s="14"/>
      <x:c r="D30" s="12"/>
      <x:c r="E30" s="14"/>
      <x:c r="F30" s="15"/>
      <x:c r="G30" s="12"/>
      <x:c r="H30" s="12"/>
      <x:c r="I30" s="4"/>
      <x:c r="J30" s="4" t="str">
        <x:f t="shared" si="6"/>
        <x:v/>
      </x:c>
      <x:c r="K30" s="4" t="str">
        <x:f t="shared" si="7"/>
        <x:v/>
      </x:c>
      <x:c r="L30" s="14"/>
      <x:c r="M30" s="15"/>
      <x:c r="N30" s="15"/>
      <x:c r="O30" s="5"/>
      <x:c r="P30" s="4" t="str">
        <x:f t="shared" si="8"/>
        <x:v/>
      </x:c>
      <x:c r="Q30" s="15"/>
      <x:c r="R30" s="14"/>
      <x:c r="S30" s="5" t="str">
        <x:f t="shared" si="9"/>
        <x:v/>
      </x:c>
      <x:c r="T30" s="4" t="str">
        <x:f t="shared" si="10"/>
        <x:v/>
      </x:c>
      <x:c r="U30" s="15"/>
      <x:c r="V30" s="14"/>
      <x:c r="W30" s="5" t="str">
        <x:f t="shared" si="11"/>
        <x:v/>
      </x:c>
      <x:c r="X30" s="14"/>
      <x:c r="Y30" s="14"/>
      <x:c r="Z30" s="12"/>
    </x:row>
    <x:row r="31" spans="1:26">
      <x:c r="A31" s="14"/>
      <x:c r="B31" s="14"/>
      <x:c r="C31" s="14"/>
      <x:c r="D31" s="12"/>
      <x:c r="E31" s="14"/>
      <x:c r="F31" s="15"/>
      <x:c r="G31" s="12"/>
      <x:c r="H31" s="12"/>
      <x:c r="I31" s="4"/>
      <x:c r="J31" s="4" t="str">
        <x:f t="shared" si="6"/>
        <x:v/>
      </x:c>
      <x:c r="K31" s="4" t="str">
        <x:f t="shared" si="7"/>
        <x:v/>
      </x:c>
      <x:c r="L31" s="14"/>
      <x:c r="M31" s="15"/>
      <x:c r="N31" s="15"/>
      <x:c r="O31" s="5"/>
      <x:c r="P31" s="4" t="str">
        <x:f t="shared" si="8"/>
        <x:v/>
      </x:c>
      <x:c r="Q31" s="15"/>
      <x:c r="R31" s="14"/>
      <x:c r="S31" s="5" t="str">
        <x:f t="shared" si="9"/>
        <x:v/>
      </x:c>
      <x:c r="T31" s="4" t="str">
        <x:f t="shared" si="10"/>
        <x:v/>
      </x:c>
      <x:c r="U31" s="15"/>
      <x:c r="V31" s="14"/>
      <x:c r="W31" s="5" t="str">
        <x:f t="shared" si="11"/>
        <x:v/>
      </x:c>
      <x:c r="X31" s="14"/>
      <x:c r="Y31" s="14"/>
      <x:c r="Z31" s="12"/>
    </x:row>
    <x:row r="32" spans="1:26">
      <x:c r="A32" s="14"/>
      <x:c r="B32" s="14"/>
      <x:c r="C32" s="14"/>
      <x:c r="D32" s="12"/>
      <x:c r="E32" s="14"/>
      <x:c r="F32" s="15"/>
      <x:c r="G32" s="12"/>
      <x:c r="H32" s="12"/>
      <x:c r="I32" s="4"/>
      <x:c r="J32" s="4" t="str">
        <x:f t="shared" si="6"/>
        <x:v/>
      </x:c>
      <x:c r="K32" s="4" t="str">
        <x:f t="shared" si="7"/>
        <x:v/>
      </x:c>
      <x:c r="L32" s="14"/>
      <x:c r="M32" s="15"/>
      <x:c r="N32" s="15"/>
      <x:c r="O32" s="5"/>
      <x:c r="P32" s="4" t="str">
        <x:f t="shared" si="8"/>
        <x:v/>
      </x:c>
      <x:c r="Q32" s="15"/>
      <x:c r="R32" s="14"/>
      <x:c r="S32" s="5" t="str">
        <x:f t="shared" si="9"/>
        <x:v/>
      </x:c>
      <x:c r="T32" s="4" t="str">
        <x:f t="shared" si="10"/>
        <x:v/>
      </x:c>
      <x:c r="U32" s="15"/>
      <x:c r="V32" s="14"/>
      <x:c r="W32" s="5" t="str">
        <x:f t="shared" si="11"/>
        <x:v/>
      </x:c>
      <x:c r="X32" s="14"/>
      <x:c r="Y32" s="14"/>
      <x:c r="Z32" s="12"/>
    </x:row>
    <x:row r="33" spans="1:26">
      <x:c r="A33" s="14"/>
      <x:c r="B33" s="14"/>
      <x:c r="C33" s="14"/>
      <x:c r="D33" s="12"/>
      <x:c r="E33" s="14"/>
      <x:c r="F33" s="15"/>
      <x:c r="G33" s="12"/>
      <x:c r="H33" s="12"/>
      <x:c r="I33" s="4"/>
      <x:c r="J33" s="4" t="str">
        <x:f t="shared" si="6"/>
        <x:v/>
      </x:c>
      <x:c r="K33" s="4" t="str">
        <x:f t="shared" si="7"/>
        <x:v/>
      </x:c>
      <x:c r="L33" s="14"/>
      <x:c r="M33" s="15"/>
      <x:c r="N33" s="15"/>
      <x:c r="O33" s="5"/>
      <x:c r="P33" s="4" t="str">
        <x:f t="shared" si="8"/>
        <x:v/>
      </x:c>
      <x:c r="Q33" s="15"/>
      <x:c r="R33" s="14"/>
      <x:c r="S33" s="5" t="str">
        <x:f t="shared" si="9"/>
        <x:v/>
      </x:c>
      <x:c r="T33" s="4" t="str">
        <x:f t="shared" si="10"/>
        <x:v/>
      </x:c>
      <x:c r="U33" s="15"/>
      <x:c r="V33" s="14"/>
      <x:c r="W33" s="5" t="str">
        <x:f t="shared" si="11"/>
        <x:v/>
      </x:c>
      <x:c r="X33" s="14"/>
      <x:c r="Y33" s="14"/>
      <x:c r="Z33" s="12"/>
    </x:row>
    <x:row r="34" spans="1:26">
      <x:c r="A34" s="14"/>
      <x:c r="B34" s="14"/>
      <x:c r="C34" s="14"/>
      <x:c r="D34" s="12"/>
      <x:c r="E34" s="14"/>
      <x:c r="F34" s="15"/>
      <x:c r="G34" s="12"/>
      <x:c r="H34" s="12"/>
      <x:c r="I34" s="4"/>
      <x:c r="J34" s="4" t="str">
        <x:f t="shared" si="6"/>
        <x:v/>
      </x:c>
      <x:c r="K34" s="4" t="str">
        <x:f t="shared" si="7"/>
        <x:v/>
      </x:c>
      <x:c r="L34" s="14"/>
      <x:c r="M34" s="15"/>
      <x:c r="N34" s="15"/>
      <x:c r="O34" s="5"/>
      <x:c r="P34" s="4" t="str">
        <x:f t="shared" si="8"/>
        <x:v/>
      </x:c>
      <x:c r="Q34" s="15"/>
      <x:c r="R34" s="14"/>
      <x:c r="S34" s="5" t="str">
        <x:f t="shared" si="9"/>
        <x:v/>
      </x:c>
      <x:c r="T34" s="4" t="str">
        <x:f t="shared" si="10"/>
        <x:v/>
      </x:c>
      <x:c r="U34" s="15"/>
      <x:c r="V34" s="14"/>
      <x:c r="W34" s="5" t="str">
        <x:f t="shared" si="11"/>
        <x:v/>
      </x:c>
      <x:c r="X34" s="14"/>
      <x:c r="Y34" s="14"/>
      <x:c r="Z34" s="12"/>
    </x:row>
    <x:row r="35" spans="1:26">
      <x:c r="A35" s="14"/>
      <x:c r="B35" s="14"/>
      <x:c r="C35" s="14"/>
      <x:c r="D35" s="12"/>
      <x:c r="E35" s="14"/>
      <x:c r="F35" s="15"/>
      <x:c r="G35" s="12"/>
      <x:c r="H35" s="12"/>
      <x:c r="I35" s="4"/>
      <x:c r="J35" s="4" t="str">
        <x:f t="shared" si="6"/>
        <x:v/>
      </x:c>
      <x:c r="K35" s="4" t="str">
        <x:f t="shared" si="7"/>
        <x:v/>
      </x:c>
      <x:c r="L35" s="14"/>
      <x:c r="M35" s="15"/>
      <x:c r="N35" s="15"/>
      <x:c r="O35" s="5"/>
      <x:c r="P35" s="4" t="str">
        <x:f t="shared" si="8"/>
        <x:v/>
      </x:c>
      <x:c r="Q35" s="15"/>
      <x:c r="R35" s="14"/>
      <x:c r="S35" s="5" t="str">
        <x:f t="shared" si="9"/>
        <x:v/>
      </x:c>
      <x:c r="T35" s="4" t="str">
        <x:f t="shared" si="10"/>
        <x:v/>
      </x:c>
      <x:c r="U35" s="15"/>
      <x:c r="V35" s="14"/>
      <x:c r="W35" s="5" t="str">
        <x:f t="shared" si="11"/>
        <x:v/>
      </x:c>
      <x:c r="X35" s="14"/>
      <x:c r="Y35" s="14"/>
      <x:c r="Z35" s="12"/>
    </x:row>
    <x:row r="36" spans="1:26">
      <x:c r="A36" s="14"/>
      <x:c r="B36" s="14"/>
      <x:c r="C36" s="14"/>
      <x:c r="D36" s="12"/>
      <x:c r="E36" s="14"/>
      <x:c r="F36" s="15"/>
      <x:c r="G36" s="12"/>
      <x:c r="H36" s="12"/>
      <x:c r="I36" s="4"/>
      <x:c r="J36" s="4" t="str">
        <x:f t="shared" si="6"/>
        <x:v/>
      </x:c>
      <x:c r="K36" s="4" t="str">
        <x:f t="shared" si="7"/>
        <x:v/>
      </x:c>
      <x:c r="L36" s="14"/>
      <x:c r="M36" s="15"/>
      <x:c r="N36" s="15"/>
      <x:c r="O36" s="5"/>
      <x:c r="P36" s="4" t="str">
        <x:f t="shared" si="8"/>
        <x:v/>
      </x:c>
      <x:c r="Q36" s="15"/>
      <x:c r="R36" s="14"/>
      <x:c r="S36" s="5" t="str">
        <x:f t="shared" si="9"/>
        <x:v/>
      </x:c>
      <x:c r="T36" s="4" t="str">
        <x:f t="shared" si="10"/>
        <x:v/>
      </x:c>
      <x:c r="U36" s="15"/>
      <x:c r="V36" s="14"/>
      <x:c r="W36" s="5" t="str">
        <x:f t="shared" si="11"/>
        <x:v/>
      </x:c>
      <x:c r="X36" s="14"/>
      <x:c r="Y36" s="14"/>
      <x:c r="Z36" s="12"/>
    </x:row>
    <x:row r="37" spans="1:26">
      <x:c r="A37" s="14"/>
      <x:c r="B37" s="14"/>
      <x:c r="C37" s="14"/>
      <x:c r="D37" s="12"/>
      <x:c r="E37" s="14"/>
      <x:c r="F37" s="15"/>
      <x:c r="G37" s="12"/>
      <x:c r="H37" s="12"/>
      <x:c r="I37" s="4"/>
      <x:c r="J37" s="4" t="str">
        <x:f t="shared" si="6"/>
        <x:v/>
      </x:c>
      <x:c r="K37" s="4" t="str">
        <x:f t="shared" si="7"/>
        <x:v/>
      </x:c>
      <x:c r="L37" s="14"/>
      <x:c r="M37" s="15"/>
      <x:c r="N37" s="15"/>
      <x:c r="O37" s="5"/>
      <x:c r="P37" s="4" t="str">
        <x:f t="shared" si="8"/>
        <x:v/>
      </x:c>
      <x:c r="Q37" s="15"/>
      <x:c r="R37" s="14"/>
      <x:c r="S37" s="5" t="str">
        <x:f t="shared" si="9"/>
        <x:v/>
      </x:c>
      <x:c r="T37" s="4" t="str">
        <x:f t="shared" si="10"/>
        <x:v/>
      </x:c>
      <x:c r="U37" s="15"/>
      <x:c r="V37" s="14"/>
      <x:c r="W37" s="5" t="str">
        <x:f t="shared" si="11"/>
        <x:v/>
      </x:c>
      <x:c r="X37" s="14"/>
      <x:c r="Y37" s="14"/>
      <x:c r="Z37" s="12"/>
    </x:row>
    <x:row r="38" spans="1:26">
      <x:c r="A38" s="14"/>
      <x:c r="B38" s="14"/>
      <x:c r="C38" s="14"/>
      <x:c r="D38" s="12"/>
      <x:c r="E38" s="14"/>
      <x:c r="F38" s="15"/>
      <x:c r="G38" s="12"/>
      <x:c r="H38" s="12"/>
      <x:c r="I38" s="4"/>
      <x:c r="J38" s="4" t="str">
        <x:f t="shared" si="6"/>
        <x:v/>
      </x:c>
      <x:c r="K38" s="4" t="str">
        <x:f t="shared" si="7"/>
        <x:v/>
      </x:c>
      <x:c r="L38" s="14"/>
      <x:c r="M38" s="15"/>
      <x:c r="N38" s="15"/>
      <x:c r="O38" s="5"/>
      <x:c r="P38" s="4" t="str">
        <x:f t="shared" si="8"/>
        <x:v/>
      </x:c>
      <x:c r="Q38" s="15"/>
      <x:c r="R38" s="14"/>
      <x:c r="S38" s="5" t="str">
        <x:f t="shared" si="9"/>
        <x:v/>
      </x:c>
      <x:c r="T38" s="4" t="str">
        <x:f t="shared" si="10"/>
        <x:v/>
      </x:c>
      <x:c r="U38" s="15"/>
      <x:c r="V38" s="14"/>
      <x:c r="W38" s="5" t="str">
        <x:f t="shared" si="11"/>
        <x:v/>
      </x:c>
      <x:c r="X38" s="14"/>
      <x:c r="Y38" s="14"/>
      <x:c r="Z38" s="12"/>
    </x:row>
    <x:row r="39" spans="1:26">
      <x:c r="A39" s="14"/>
      <x:c r="B39" s="14"/>
      <x:c r="C39" s="14"/>
      <x:c r="D39" s="12"/>
      <x:c r="E39" s="14"/>
      <x:c r="F39" s="15"/>
      <x:c r="G39" s="12"/>
      <x:c r="H39" s="12"/>
      <x:c r="I39" s="4"/>
      <x:c r="J39" s="4" t="str">
        <x:f t="shared" si="6"/>
        <x:v/>
      </x:c>
      <x:c r="K39" s="4" t="str">
        <x:f t="shared" si="7"/>
        <x:v/>
      </x:c>
      <x:c r="L39" s="14"/>
      <x:c r="M39" s="15"/>
      <x:c r="N39" s="15"/>
      <x:c r="O39" s="5"/>
      <x:c r="P39" s="4" t="str">
        <x:f t="shared" si="8"/>
        <x:v/>
      </x:c>
      <x:c r="Q39" s="15"/>
      <x:c r="R39" s="14"/>
      <x:c r="S39" s="5" t="str">
        <x:f t="shared" si="9"/>
        <x:v/>
      </x:c>
      <x:c r="T39" s="4" t="str">
        <x:f t="shared" si="10"/>
        <x:v/>
      </x:c>
      <x:c r="U39" s="15"/>
      <x:c r="V39" s="14"/>
      <x:c r="W39" s="5" t="str">
        <x:f t="shared" si="11"/>
        <x:v/>
      </x:c>
      <x:c r="X39" s="14"/>
      <x:c r="Y39" s="14"/>
      <x:c r="Z39" s="12"/>
    </x:row>
    <x:row r="40" spans="1:26">
      <x:c r="A40" s="14"/>
      <x:c r="B40" s="14"/>
      <x:c r="C40" s="14"/>
      <x:c r="D40" s="12"/>
      <x:c r="E40" s="14"/>
      <x:c r="F40" s="15"/>
      <x:c r="G40" s="12"/>
      <x:c r="H40" s="12"/>
      <x:c r="I40" s="4"/>
      <x:c r="J40" s="4" t="str">
        <x:f t="shared" si="6"/>
        <x:v/>
      </x:c>
      <x:c r="K40" s="4" t="str">
        <x:f t="shared" si="7"/>
        <x:v/>
      </x:c>
      <x:c r="L40" s="14"/>
      <x:c r="M40" s="15"/>
      <x:c r="N40" s="15"/>
      <x:c r="O40" s="5"/>
      <x:c r="P40" s="4" t="str">
        <x:f t="shared" si="8"/>
        <x:v/>
      </x:c>
      <x:c r="Q40" s="15"/>
      <x:c r="R40" s="14"/>
      <x:c r="S40" s="5" t="str">
        <x:f t="shared" si="9"/>
        <x:v/>
      </x:c>
      <x:c r="T40" s="4" t="str">
        <x:f t="shared" si="10"/>
        <x:v/>
      </x:c>
      <x:c r="U40" s="15"/>
      <x:c r="V40" s="14"/>
      <x:c r="W40" s="5" t="str">
        <x:f t="shared" si="11"/>
        <x:v/>
      </x:c>
      <x:c r="X40" s="14"/>
      <x:c r="Y40" s="14"/>
      <x:c r="Z40" s="12"/>
    </x:row>
    <x:row r="41" spans="1:26">
      <x:c r="A41" s="14"/>
      <x:c r="B41" s="14"/>
      <x:c r="C41" s="14"/>
      <x:c r="D41" s="12"/>
      <x:c r="E41" s="14"/>
      <x:c r="F41" s="15"/>
      <x:c r="G41" s="12"/>
      <x:c r="H41" s="12"/>
      <x:c r="I41" s="4"/>
      <x:c r="J41" s="4" t="str">
        <x:f t="shared" si="6"/>
        <x:v/>
      </x:c>
      <x:c r="K41" s="4" t="str">
        <x:f t="shared" si="7"/>
        <x:v/>
      </x:c>
      <x:c r="L41" s="14"/>
      <x:c r="M41" s="15"/>
      <x:c r="N41" s="15"/>
      <x:c r="O41" s="5"/>
      <x:c r="P41" s="4" t="str">
        <x:f t="shared" si="8"/>
        <x:v/>
      </x:c>
      <x:c r="Q41" s="15"/>
      <x:c r="R41" s="14"/>
      <x:c r="S41" s="5" t="str">
        <x:f t="shared" si="9"/>
        <x:v/>
      </x:c>
      <x:c r="T41" s="4" t="str">
        <x:f t="shared" si="10"/>
        <x:v/>
      </x:c>
      <x:c r="U41" s="15"/>
      <x:c r="V41" s="14"/>
      <x:c r="W41" s="5" t="str">
        <x:f t="shared" si="11"/>
        <x:v/>
      </x:c>
      <x:c r="X41" s="14"/>
      <x:c r="Y41" s="14"/>
      <x:c r="Z41" s="12"/>
    </x:row>
    <x:row r="42" spans="1:26">
      <x:c r="A42" s="14"/>
      <x:c r="B42" s="14"/>
      <x:c r="C42" s="14"/>
      <x:c r="D42" s="12"/>
      <x:c r="E42" s="14"/>
      <x:c r="F42" s="15"/>
      <x:c r="G42" s="12"/>
      <x:c r="H42" s="12"/>
      <x:c r="I42" s="4"/>
      <x:c r="J42" s="4" t="str">
        <x:f t="shared" si="6"/>
        <x:v/>
      </x:c>
      <x:c r="K42" s="4" t="str">
        <x:f t="shared" si="7"/>
        <x:v/>
      </x:c>
      <x:c r="L42" s="14"/>
      <x:c r="M42" s="15"/>
      <x:c r="N42" s="15"/>
      <x:c r="O42" s="5"/>
      <x:c r="P42" s="4" t="str">
        <x:f t="shared" si="8"/>
        <x:v/>
      </x:c>
      <x:c r="Q42" s="15"/>
      <x:c r="R42" s="14"/>
      <x:c r="S42" s="5" t="str">
        <x:f t="shared" si="9"/>
        <x:v/>
      </x:c>
      <x:c r="T42" s="4" t="str">
        <x:f t="shared" si="10"/>
        <x:v/>
      </x:c>
      <x:c r="U42" s="15"/>
      <x:c r="V42" s="14"/>
      <x:c r="W42" s="5" t="str">
        <x:f t="shared" si="11"/>
        <x:v/>
      </x:c>
      <x:c r="X42" s="14"/>
      <x:c r="Y42" s="14"/>
      <x:c r="Z42" s="12"/>
    </x:row>
    <x:row r="43" spans="1:26">
      <x:c r="A43" s="14"/>
      <x:c r="B43" s="14"/>
      <x:c r="C43" s="14"/>
      <x:c r="D43" s="12"/>
      <x:c r="E43" s="14"/>
      <x:c r="F43" s="15"/>
      <x:c r="G43" s="12"/>
      <x:c r="H43" s="12"/>
      <x:c r="I43" s="4"/>
      <x:c r="J43" s="4" t="str">
        <x:f t="shared" si="6"/>
        <x:v/>
      </x:c>
      <x:c r="K43" s="4" t="str">
        <x:f t="shared" si="7"/>
        <x:v/>
      </x:c>
      <x:c r="L43" s="14"/>
      <x:c r="M43" s="15"/>
      <x:c r="N43" s="15"/>
      <x:c r="O43" s="5"/>
      <x:c r="P43" s="4" t="str">
        <x:f t="shared" si="8"/>
        <x:v/>
      </x:c>
      <x:c r="Q43" s="15"/>
      <x:c r="R43" s="14"/>
      <x:c r="S43" s="5" t="str">
        <x:f t="shared" si="9"/>
        <x:v/>
      </x:c>
      <x:c r="T43" s="4" t="str">
        <x:f t="shared" si="10"/>
        <x:v/>
      </x:c>
      <x:c r="U43" s="15"/>
      <x:c r="V43" s="14"/>
      <x:c r="W43" s="5" t="str">
        <x:f t="shared" si="11"/>
        <x:v/>
      </x:c>
      <x:c r="X43" s="14"/>
      <x:c r="Y43" s="14"/>
      <x:c r="Z43" s="12"/>
    </x:row>
    <x:row r="44" spans="1:26">
      <x:c r="A44" s="14"/>
      <x:c r="B44" s="14"/>
      <x:c r="C44" s="14"/>
      <x:c r="D44" s="12"/>
      <x:c r="E44" s="14"/>
      <x:c r="F44" s="15"/>
      <x:c r="G44" s="12"/>
      <x:c r="H44" s="12"/>
      <x:c r="I44" s="4"/>
      <x:c r="J44" s="4" t="str">
        <x:f t="shared" si="6"/>
        <x:v/>
      </x:c>
      <x:c r="K44" s="4" t="str">
        <x:f t="shared" si="7"/>
        <x:v/>
      </x:c>
      <x:c r="L44" s="14"/>
      <x:c r="M44" s="15"/>
      <x:c r="N44" s="15"/>
      <x:c r="O44" s="5"/>
      <x:c r="P44" s="4" t="str">
        <x:f t="shared" si="8"/>
        <x:v/>
      </x:c>
      <x:c r="Q44" s="15"/>
      <x:c r="R44" s="14"/>
      <x:c r="S44" s="5" t="str">
        <x:f t="shared" si="9"/>
        <x:v/>
      </x:c>
      <x:c r="T44" s="4" t="str">
        <x:f t="shared" si="10"/>
        <x:v/>
      </x:c>
      <x:c r="U44" s="15"/>
      <x:c r="V44" s="14"/>
      <x:c r="W44" s="5" t="str">
        <x:f t="shared" si="11"/>
        <x:v/>
      </x:c>
      <x:c r="X44" s="14"/>
      <x:c r="Y44" s="14"/>
      <x:c r="Z44" s="12"/>
    </x:row>
    <x:row r="45" spans="1:26">
      <x:c r="A45" s="14"/>
      <x:c r="B45" s="14"/>
      <x:c r="C45" s="14"/>
      <x:c r="D45" s="12"/>
      <x:c r="E45" s="14"/>
      <x:c r="F45" s="15"/>
      <x:c r="G45" s="12"/>
      <x:c r="H45" s="12"/>
      <x:c r="I45" s="4"/>
      <x:c r="J45" s="4" t="str">
        <x:f t="shared" si="6"/>
        <x:v/>
      </x:c>
      <x:c r="K45" s="4" t="str">
        <x:f t="shared" si="7"/>
        <x:v/>
      </x:c>
      <x:c r="L45" s="14"/>
      <x:c r="M45" s="15"/>
      <x:c r="N45" s="15"/>
      <x:c r="O45" s="5"/>
      <x:c r="P45" s="4" t="str">
        <x:f t="shared" si="8"/>
        <x:v/>
      </x:c>
      <x:c r="Q45" s="15"/>
      <x:c r="R45" s="14"/>
      <x:c r="S45" s="5" t="str">
        <x:f t="shared" si="9"/>
        <x:v/>
      </x:c>
      <x:c r="T45" s="4" t="str">
        <x:f t="shared" si="10"/>
        <x:v/>
      </x:c>
      <x:c r="U45" s="15"/>
      <x:c r="V45" s="14"/>
      <x:c r="W45" s="5" t="str">
        <x:f t="shared" si="11"/>
        <x:v/>
      </x:c>
      <x:c r="X45" s="14"/>
      <x:c r="Y45" s="14"/>
      <x:c r="Z45" s="12"/>
    </x:row>
    <x:row r="46" spans="1:26">
      <x:c r="A46" s="14"/>
      <x:c r="B46" s="14"/>
      <x:c r="C46" s="14"/>
      <x:c r="D46" s="12"/>
      <x:c r="E46" s="14"/>
      <x:c r="F46" s="15"/>
      <x:c r="G46" s="12"/>
      <x:c r="H46" s="12"/>
      <x:c r="I46" s="4"/>
      <x:c r="J46" s="4" t="str">
        <x:f t="shared" si="6"/>
        <x:v/>
      </x:c>
      <x:c r="K46" s="4" t="str">
        <x:f t="shared" si="7"/>
        <x:v/>
      </x:c>
      <x:c r="L46" s="14"/>
      <x:c r="M46" s="15"/>
      <x:c r="N46" s="15"/>
      <x:c r="O46" s="5"/>
      <x:c r="P46" s="4" t="str">
        <x:f t="shared" si="8"/>
        <x:v/>
      </x:c>
      <x:c r="Q46" s="15"/>
      <x:c r="R46" s="14"/>
      <x:c r="S46" s="5" t="str">
        <x:f t="shared" si="9"/>
        <x:v/>
      </x:c>
      <x:c r="T46" s="4" t="str">
        <x:f t="shared" si="10"/>
        <x:v/>
      </x:c>
      <x:c r="U46" s="15"/>
      <x:c r="V46" s="14"/>
      <x:c r="W46" s="5" t="str">
        <x:f t="shared" si="11"/>
        <x:v/>
      </x:c>
      <x:c r="X46" s="14"/>
      <x:c r="Y46" s="14"/>
      <x:c r="Z46" s="12"/>
    </x:row>
    <x:row r="47" spans="1:26">
      <x:c r="A47" s="14"/>
      <x:c r="B47" s="14"/>
      <x:c r="C47" s="14"/>
      <x:c r="D47" s="12"/>
      <x:c r="E47" s="14"/>
      <x:c r="F47" s="15"/>
      <x:c r="G47" s="12"/>
      <x:c r="H47" s="12"/>
      <x:c r="I47" s="4"/>
      <x:c r="J47" s="4" t="str">
        <x:f t="shared" si="6"/>
        <x:v/>
      </x:c>
      <x:c r="K47" s="4" t="str">
        <x:f t="shared" si="7"/>
        <x:v/>
      </x:c>
      <x:c r="L47" s="14"/>
      <x:c r="M47" s="15"/>
      <x:c r="N47" s="15"/>
      <x:c r="O47" s="5"/>
      <x:c r="P47" s="4" t="str">
        <x:f t="shared" si="8"/>
        <x:v/>
      </x:c>
      <x:c r="Q47" s="15"/>
      <x:c r="R47" s="14"/>
      <x:c r="S47" s="5" t="str">
        <x:f t="shared" si="9"/>
        <x:v/>
      </x:c>
      <x:c r="T47" s="4" t="str">
        <x:f t="shared" si="10"/>
        <x:v/>
      </x:c>
      <x:c r="U47" s="15"/>
      <x:c r="V47" s="14"/>
      <x:c r="W47" s="5" t="str">
        <x:f t="shared" si="11"/>
        <x:v/>
      </x:c>
      <x:c r="X47" s="14"/>
      <x:c r="Y47" s="14"/>
      <x:c r="Z47" s="12"/>
    </x:row>
    <x:row r="48" spans="1:26">
      <x:c r="A48" s="14"/>
      <x:c r="B48" s="14"/>
      <x:c r="C48" s="14"/>
      <x:c r="D48" s="12"/>
      <x:c r="E48" s="14"/>
      <x:c r="F48" s="15"/>
      <x:c r="G48" s="12"/>
      <x:c r="H48" s="12"/>
      <x:c r="I48" s="4"/>
      <x:c r="J48" s="4" t="str">
        <x:f t="shared" si="6"/>
        <x:v/>
      </x:c>
      <x:c r="K48" s="4" t="str">
        <x:f t="shared" si="7"/>
        <x:v/>
      </x:c>
      <x:c r="L48" s="14"/>
      <x:c r="M48" s="15"/>
      <x:c r="N48" s="15"/>
      <x:c r="O48" s="5"/>
      <x:c r="P48" s="4" t="str">
        <x:f t="shared" si="8"/>
        <x:v/>
      </x:c>
      <x:c r="Q48" s="15"/>
      <x:c r="R48" s="14"/>
      <x:c r="S48" s="5" t="str">
        <x:f t="shared" si="9"/>
        <x:v/>
      </x:c>
      <x:c r="T48" s="4" t="str">
        <x:f t="shared" si="10"/>
        <x:v/>
      </x:c>
      <x:c r="U48" s="15"/>
      <x:c r="V48" s="14"/>
      <x:c r="W48" s="5" t="str">
        <x:f t="shared" si="11"/>
        <x:v/>
      </x:c>
      <x:c r="X48" s="14"/>
      <x:c r="Y48" s="14"/>
      <x:c r="Z48" s="12"/>
    </x:row>
    <x:row r="49" spans="1:26">
      <x:c r="A49" s="14"/>
      <x:c r="B49" s="14"/>
      <x:c r="C49" s="14"/>
      <x:c r="D49" s="12"/>
      <x:c r="E49" s="14"/>
      <x:c r="F49" s="15"/>
      <x:c r="G49" s="12"/>
      <x:c r="H49" s="12"/>
      <x:c r="I49" s="4"/>
      <x:c r="J49" s="4" t="str">
        <x:f t="shared" si="6"/>
        <x:v/>
      </x:c>
      <x:c r="K49" s="4" t="str">
        <x:f t="shared" si="7"/>
        <x:v/>
      </x:c>
      <x:c r="L49" s="14"/>
      <x:c r="M49" s="15"/>
      <x:c r="N49" s="15"/>
      <x:c r="O49" s="5"/>
      <x:c r="P49" s="4" t="str">
        <x:f t="shared" si="8"/>
        <x:v/>
      </x:c>
      <x:c r="Q49" s="15"/>
      <x:c r="R49" s="14"/>
      <x:c r="S49" s="5" t="str">
        <x:f t="shared" si="9"/>
        <x:v/>
      </x:c>
      <x:c r="T49" s="4" t="str">
        <x:f t="shared" si="10"/>
        <x:v/>
      </x:c>
      <x:c r="U49" s="15"/>
      <x:c r="V49" s="14"/>
      <x:c r="W49" s="5" t="str">
        <x:f t="shared" si="11"/>
        <x:v/>
      </x:c>
      <x:c r="X49" s="14"/>
      <x:c r="Y49" s="14"/>
      <x:c r="Z49" s="12"/>
    </x:row>
    <x:row r="50" spans="1:26">
      <x:c r="A50" s="14"/>
      <x:c r="B50" s="14"/>
      <x:c r="C50" s="14"/>
      <x:c r="D50" s="12"/>
      <x:c r="E50" s="14"/>
      <x:c r="F50" s="15"/>
      <x:c r="G50" s="12"/>
      <x:c r="H50" s="12"/>
      <x:c r="I50" s="4"/>
      <x:c r="J50" s="4" t="str">
        <x:f t="shared" si="6"/>
        <x:v/>
      </x:c>
      <x:c r="K50" s="4" t="str">
        <x:f t="shared" si="7"/>
        <x:v/>
      </x:c>
      <x:c r="L50" s="14"/>
      <x:c r="M50" s="15"/>
      <x:c r="N50" s="15"/>
      <x:c r="O50" s="5"/>
      <x:c r="P50" s="4" t="str">
        <x:f t="shared" si="8"/>
        <x:v/>
      </x:c>
      <x:c r="Q50" s="15"/>
      <x:c r="R50" s="14"/>
      <x:c r="S50" s="5" t="str">
        <x:f t="shared" si="9"/>
        <x:v/>
      </x:c>
      <x:c r="T50" s="4" t="str">
        <x:f t="shared" si="10"/>
        <x:v/>
      </x:c>
      <x:c r="U50" s="15"/>
      <x:c r="V50" s="14"/>
      <x:c r="W50" s="5" t="str">
        <x:f t="shared" si="11"/>
        <x:v/>
      </x:c>
      <x:c r="X50" s="14"/>
      <x:c r="Y50" s="14"/>
      <x:c r="Z50" s="12"/>
    </x:row>
    <x:row r="51" spans="1:26">
      <x:c r="A51" s="14"/>
      <x:c r="B51" s="14"/>
      <x:c r="C51" s="14"/>
      <x:c r="D51" s="12"/>
      <x:c r="E51" s="14"/>
      <x:c r="F51" s="15"/>
      <x:c r="G51" s="12"/>
      <x:c r="H51" s="12"/>
      <x:c r="I51" s="4"/>
      <x:c r="J51" s="4" t="str">
        <x:f t="shared" si="6"/>
        <x:v/>
      </x:c>
      <x:c r="K51" s="4" t="str">
        <x:f t="shared" si="7"/>
        <x:v/>
      </x:c>
      <x:c r="L51" s="14"/>
      <x:c r="M51" s="15"/>
      <x:c r="N51" s="15"/>
      <x:c r="O51" s="5"/>
      <x:c r="P51" s="4" t="str">
        <x:f t="shared" si="8"/>
        <x:v/>
      </x:c>
      <x:c r="Q51" s="15"/>
      <x:c r="R51" s="14"/>
      <x:c r="S51" s="5" t="str">
        <x:f t="shared" si="9"/>
        <x:v/>
      </x:c>
      <x:c r="T51" s="4" t="str">
        <x:f t="shared" si="10"/>
        <x:v/>
      </x:c>
      <x:c r="U51" s="15"/>
      <x:c r="V51" s="14"/>
      <x:c r="W51" s="5" t="str">
        <x:f t="shared" si="11"/>
        <x:v/>
      </x:c>
      <x:c r="X51" s="14"/>
      <x:c r="Y51" s="14"/>
      <x:c r="Z51" s="12"/>
    </x:row>
    <x:row r="52" spans="1:26">
      <x:c r="A52" s="14"/>
      <x:c r="B52" s="14"/>
      <x:c r="C52" s="14"/>
      <x:c r="D52" s="12"/>
      <x:c r="E52" s="14"/>
      <x:c r="F52" s="15"/>
      <x:c r="G52" s="12"/>
      <x:c r="H52" s="12"/>
      <x:c r="I52" s="4"/>
      <x:c r="J52" s="4" t="str">
        <x:f t="shared" si="6"/>
        <x:v/>
      </x:c>
      <x:c r="K52" s="4" t="str">
        <x:f t="shared" si="7"/>
        <x:v/>
      </x:c>
      <x:c r="L52" s="14"/>
      <x:c r="M52" s="15"/>
      <x:c r="N52" s="15"/>
      <x:c r="O52" s="5"/>
      <x:c r="P52" s="4" t="str">
        <x:f t="shared" si="8"/>
        <x:v/>
      </x:c>
      <x:c r="Q52" s="15"/>
      <x:c r="R52" s="14"/>
      <x:c r="S52" s="5" t="str">
        <x:f t="shared" si="9"/>
        <x:v/>
      </x:c>
      <x:c r="T52" s="4" t="str">
        <x:f t="shared" si="10"/>
        <x:v/>
      </x:c>
      <x:c r="U52" s="15"/>
      <x:c r="V52" s="14"/>
      <x:c r="W52" s="5" t="str">
        <x:f t="shared" si="11"/>
        <x:v/>
      </x:c>
      <x:c r="X52" s="14"/>
      <x:c r="Y52" s="14"/>
      <x:c r="Z52" s="12"/>
    </x:row>
    <x:row r="53" spans="1:26">
      <x:c r="A53" s="14"/>
      <x:c r="B53" s="14"/>
      <x:c r="C53" s="14"/>
      <x:c r="D53" s="12"/>
      <x:c r="E53" s="14"/>
      <x:c r="F53" s="15"/>
      <x:c r="G53" s="12"/>
      <x:c r="H53" s="12"/>
      <x:c r="I53" s="4"/>
      <x:c r="J53" s="4" t="str">
        <x:f t="shared" si="6"/>
        <x:v/>
      </x:c>
      <x:c r="K53" s="4" t="str">
        <x:f t="shared" si="7"/>
        <x:v/>
      </x:c>
      <x:c r="L53" s="14"/>
      <x:c r="M53" s="15"/>
      <x:c r="N53" s="15"/>
      <x:c r="O53" s="5"/>
      <x:c r="P53" s="4" t="str">
        <x:f t="shared" si="8"/>
        <x:v/>
      </x:c>
      <x:c r="Q53" s="15"/>
      <x:c r="R53" s="14"/>
      <x:c r="S53" s="5" t="str">
        <x:f t="shared" si="9"/>
        <x:v/>
      </x:c>
      <x:c r="T53" s="4" t="str">
        <x:f t="shared" si="10"/>
        <x:v/>
      </x:c>
      <x:c r="U53" s="15"/>
      <x:c r="V53" s="14"/>
      <x:c r="W53" s="5" t="str">
        <x:f t="shared" si="11"/>
        <x:v/>
      </x:c>
      <x:c r="X53" s="14"/>
      <x:c r="Y53" s="14"/>
      <x:c r="Z53" s="12"/>
    </x:row>
    <x:row r="54" spans="1:26">
      <x:c r="A54" s="14"/>
      <x:c r="B54" s="14"/>
      <x:c r="C54" s="14"/>
      <x:c r="D54" s="12"/>
      <x:c r="E54" s="14"/>
      <x:c r="F54" s="15"/>
      <x:c r="G54" s="12"/>
      <x:c r="H54" s="12"/>
      <x:c r="I54" s="4"/>
      <x:c r="J54" s="4" t="str">
        <x:f t="shared" si="6"/>
        <x:v/>
      </x:c>
      <x:c r="K54" s="4" t="str">
        <x:f t="shared" si="7"/>
        <x:v/>
      </x:c>
      <x:c r="L54" s="14"/>
      <x:c r="M54" s="15"/>
      <x:c r="N54" s="15"/>
      <x:c r="O54" s="5"/>
      <x:c r="P54" s="4" t="str">
        <x:f t="shared" si="8"/>
        <x:v/>
      </x:c>
      <x:c r="Q54" s="15"/>
      <x:c r="R54" s="14"/>
      <x:c r="S54" s="5" t="str">
        <x:f t="shared" si="9"/>
        <x:v/>
      </x:c>
      <x:c r="T54" s="4" t="str">
        <x:f t="shared" si="10"/>
        <x:v/>
      </x:c>
      <x:c r="U54" s="15"/>
      <x:c r="V54" s="14"/>
      <x:c r="W54" s="5" t="str">
        <x:f t="shared" si="11"/>
        <x:v/>
      </x:c>
      <x:c r="X54" s="14"/>
      <x:c r="Y54" s="14"/>
      <x:c r="Z54" s="12"/>
    </x:row>
    <x:row r="55" spans="1:26" ht="17.14999999999999857891" customHeight="1">
      <x:c r="A55" s="38" t="s">
        <x:v>14</x:v>
      </x:c>
      <x:c r="B55" s="38"/>
      <x:c r="C55" s="38"/>
      <x:c r="D55" s="38"/>
      <x:c r="E55" s="38"/>
      <x:c r="F55" s="38"/>
      <x:c r="G55" s="38"/>
      <x:c r="H55" s="38"/>
      <x:c r="I55" s="8">
        <x:f>SUM(I5:I54)</x:f>
        <x:v>960000000</x:v>
      </x:c>
      <x:c r="J55" s="8">
        <x:f>SUM(J5:J54)</x:f>
        <x:v>96000000</x:v>
      </x:c>
      <x:c r="K55" s="8">
        <x:f>SUM(K5:K54)</x:f>
        <x:v>1056000000</x:v>
      </x:c>
      <x:c r="L55" s="16"/>
      <x:c r="M55" s="16"/>
      <x:c r="N55" s="16"/>
      <x:c r="O55" s="9"/>
      <x:c r="P55" s="8">
        <x:f>SUMIFS(P5:P54,R5:R54,"수금")</x:f>
        <x:v>0</x:v>
      </x:c>
      <x:c r="Q55" s="16"/>
      <x:c r="R55" s="16" t="s">
        <x:v>231</x:v>
      </x:c>
      <x:c r="S55" s="9"/>
      <x:c r="T55" s="8">
        <x:f>SUMIFS(T5:T54,V5:V54,"수금")</x:f>
        <x:v>0</x:v>
      </x:c>
      <x:c r="U55" s="16"/>
      <x:c r="V55" s="16" t="s">
        <x:v>231</x:v>
      </x:c>
      <x:c r="W55" s="9">
        <x:f>IFERROR((P55+T55)/K55,0)</x:f>
        <x:v>0</x:v>
      </x:c>
      <x:c r="X55" s="16"/>
      <x:c r="Y55" s="16"/>
      <x:c r="Z55" s="16"/>
    </x:row>
  </x:sheetData>
  <x:autoFilter ref="A4:Z54"/>
  <x:mergeCells count="9">
    <x:mergeCell ref="A1:Z1"/>
    <x:mergeCell ref="A2:Z2"/>
    <x:mergeCell ref="A3:H3"/>
    <x:mergeCell ref="I3:K3"/>
    <x:mergeCell ref="L3:N3"/>
    <x:mergeCell ref="O3:R3"/>
    <x:mergeCell ref="S3:V3"/>
    <x:mergeCell ref="X3:Z3"/>
    <x:mergeCell ref="A55:H55"/>
  </x:mergeCells>
  <x:conditionalFormatting sqref="L5:L54">
    <x:cfRule type="cellIs" dxfId="35" priority="8" operator="equal">
      <x:formula>"보류"</x:formula>
    </x:cfRule>
    <x:cfRule type="cellIs" dxfId="36" priority="7" operator="equal">
      <x:formula>"실주"</x:formula>
    </x:cfRule>
    <x:cfRule type="cellIs" dxfId="37" priority="6" operator="equal">
      <x:formula>"대기"</x:formula>
    </x:cfRule>
    <x:cfRule type="cellIs" dxfId="38" priority="5" operator="equal">
      <x:formula>"설치중"</x:formula>
    </x:cfRule>
    <x:cfRule type="cellIs" dxfId="39" priority="4" operator="equal">
      <x:formula>"진행중"</x:formula>
    </x:cfRule>
    <x:cfRule type="cellIs" dxfId="40" priority="3" operator="equal">
      <x:formula>"완료"</x:formula>
    </x:cfRule>
    <x:cfRule type="cellIs" dxfId="41" priority="2" operator="equal">
      <x:formula>"수주"</x:formula>
    </x:cfRule>
  </x:conditionalFormatting>
  <x:conditionalFormatting sqref="R5:R54">
    <x:cfRule type="cellIs" dxfId="31" priority="12" operator="equal">
      <x:formula>"미수금"</x:formula>
    </x:cfRule>
    <x:cfRule type="cellIs" dxfId="32" priority="11" operator="equal">
      <x:formula>"지연"</x:formula>
    </x:cfRule>
    <x:cfRule type="cellIs" dxfId="33" priority="10" operator="equal">
      <x:formula>"청구"</x:formula>
    </x:cfRule>
    <x:cfRule type="cellIs" dxfId="34" priority="9" operator="equal">
      <x:formula>"수금"</x:formula>
    </x:cfRule>
  </x:conditionalFormatting>
  <x:conditionalFormatting sqref="V5:V54">
    <x:cfRule type="cellIs" dxfId="27" priority="16" operator="equal">
      <x:formula>"미수금"</x:formula>
    </x:cfRule>
    <x:cfRule type="cellIs" dxfId="28" priority="15" operator="equal">
      <x:formula>"지연"</x:formula>
    </x:cfRule>
    <x:cfRule type="cellIs" dxfId="29" priority="14" operator="equal">
      <x:formula>"청구"</x:formula>
    </x:cfRule>
    <x:cfRule type="cellIs" dxfId="30" priority="13" operator="equal">
      <x:formula>"수금"</x:formula>
    </x:cfRule>
  </x:conditionalFormatting>
  <x:conditionalFormatting sqref="W5:W54">
    <x:cfRule type="dataBar" priority="17">
      <x:dataBar>
        <x:cfvo type="num" val="0"/>
        <x:cfvo type="num" val="1"/>
        <x:color rgb="ff5b9bd5"/>
      </x:dataBar>
      <x:extLst>
        <x:ext xmlns:x14="http://schemas.microsoft.com/office/spreadsheetml/2009/9/main" uri="{B025F937-C7B1-47D3-B67F-A62EFF666E3E}">
          <x14:id>{B71EC5DE-159D-4522-AB8D-85E87741404B}</x14:id>
        </x:ext>
      </x:extLst>
    </x:cfRule>
  </x:conditionalFormatting>
  <x:dataValidations count="3">
    <x:dataValidation type="list" allowBlank="1" sqref="A5:A54">
      <x:formula1>"스마트 생태공장,섬유 제조 자동화"</x:formula1>
    </x:dataValidation>
    <x:dataValidation type="list" allowBlank="1" sqref="L5:L54">
      <x:formula1>"대기,진행중,수주,설치중,완료,실주,보류"</x:formula1>
    </x:dataValidation>
    <x:dataValidation type="list" allowBlank="1" sqref="R5:R54 V5:V54">
      <x:formula1>"미수금,청구,수금,지연"</x:formula1>
    </x:dataValidation>
  </x:dataValidations>
  <x:pageMargins left="0.75" right="0.75" top="1" bottom="1" header="0.51166665554046630859" footer="0.51166665554046630859"/>
  <x:pageSetup paperSize="9" scale="100" firstPageNumber="1" fitToWidth="1" fitToHeight="1" orientation="portrait" usePrinterDefaults="1" blackAndWhite="0" draft="0" useFirstPageNumber="0" horizontalDpi="300" verticalDpi="300" copies="1"/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1EC5DE-159D-4522-AB8D-85E87741404B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5b9bd5"/>
            </x14:dataBar>
          </x14:cfRule>
          <xm:sqref>W5:W54</xm:sqref>
        </x14:conditionalFormatting>
      </x14:conditionalFormattings>
    </x:ext>
  </x:extLst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 filterMode="1"/>
  <x:dimension ref="A1:L53"/>
  <x:sheetViews>
    <x:sheetView topLeftCell="A1" zoomScaleNormal="100" zoomScaleSheetLayoutView="100" workbookViewId="0">
      <x:pane xSplit="3" ySplit="3" topLeftCell="D4" activePane="bottomRight" state="frozen"/>
      <x:selection pane="bottomRight" activeCell="I4" activeCellId="0" sqref="I4:I4"/>
    </x:sheetView>
  </x:sheetViews>
  <x:sheetFormatPr defaultColWidth="8.6328125" defaultRowHeight="16.39999999999999857891"/>
  <x:cols>
    <x:col min="1" max="1" width="16" style="20" customWidth="1"/>
    <x:col min="2" max="2" width="18" style="20" customWidth="1"/>
    <x:col min="3" max="3" width="11" style="20" customWidth="1"/>
    <x:col min="4" max="4" width="14" style="20" customWidth="1"/>
    <x:col min="5" max="5" width="10" style="20" customWidth="1"/>
    <x:col min="6" max="7" width="12" style="20" customWidth="1"/>
    <x:col min="8" max="8" width="14" style="20" customWidth="1"/>
    <x:col min="9" max="9" width="10" style="20" customWidth="1"/>
    <x:col min="10" max="10" width="14" style="20" customWidth="1"/>
    <x:col min="11" max="12" width="10" style="20" customWidth="1"/>
    <x:col min="13" max="16384" width="8.6328125" style="20"/>
  </x:cols>
  <x:sheetData>
    <x:row r="1" spans="1:12" ht="27.75" customHeight="1">
      <x:c r="A1" s="29" t="s">
        <x:v>182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</x:row>
    <x:row r="3" spans="1:12" ht="31.5" customHeight="1">
      <x:c r="A3" s="13" t="s">
        <x:v>190</x:v>
      </x:c>
      <x:c r="B3" s="13" t="s">
        <x:v>194</x:v>
      </x:c>
      <x:c r="C3" s="13" t="s">
        <x:v>6</x:v>
      </x:c>
      <x:c r="D3" s="13" t="s">
        <x:v>217</x:v>
      </x:c>
      <x:c r="E3" s="13" t="s">
        <x:v>202</x:v>
      </x:c>
      <x:c r="F3" s="13" t="s">
        <x:v>226</x:v>
      </x:c>
      <x:c r="G3" s="13" t="s">
        <x:v>237</x:v>
      </x:c>
      <x:c r="H3" s="13" t="s">
        <x:v>235</x:v>
      </x:c>
      <x:c r="I3" s="13" t="s">
        <x:v>208</x:v>
      </x:c>
      <x:c r="J3" s="13" t="s">
        <x:v>225</x:v>
      </x:c>
      <x:c r="K3" s="13" t="s">
        <x:v>191</x:v>
      </x:c>
      <x:c r="L3" s="13" t="s">
        <x:v>146</x:v>
      </x:c>
    </x:row>
    <x:row r="4" spans="1:12">
      <x:c r="A4" s="14" t="str">
        <x:f>'② 견적리스트'!A5</x:f>
        <x:v>스마트 생태공장</x:v>
      </x:c>
      <x:c r="B4" s="14" t="str">
        <x:f>'② 견적리스트'!D5</x:f>
        <x:v>(주)을화 비산공장</x:v>
      </x:c>
      <x:c r="C4" s="14" t="str">
        <x:f>'② 견적리스트'!E5</x:f>
        <x:v>GS시스템</x:v>
      </x:c>
      <x:c r="D4" s="17">
        <x:f>'② 견적리스트'!K5</x:f>
        <x:v>570900000</x:v>
      </x:c>
      <x:c r="E4" s="14" t="str">
        <x:f>'② 견적리스트'!L5</x:f>
        <x:v>대기</x:v>
      </x:c>
      <x:c r="F4" s="18">
        <x:f>'② 견적리스트'!M5</x:f>
        <x:v>0</x:v>
      </x:c>
      <x:c r="G4" s="18">
        <x:f>'② 견적리스트'!N5</x:f>
        <x:v>0</x:v>
      </x:c>
      <x:c r="H4" s="17">
        <x:f>'② 견적리스트'!P5</x:f>
        <x:v>285450000</x:v>
      </x:c>
      <x:c r="I4" s="14" t="str">
        <x:f>'② 견적리스트'!R5</x:f>
        <x:v>미수금</x:v>
      </x:c>
      <x:c r="J4" s="17">
        <x:f>'② 견적리스트'!T5</x:f>
        <x:v>285450000</x:v>
      </x:c>
      <x:c r="K4" s="14" t="str">
        <x:f>'② 견적리스트'!V5</x:f>
        <x:v>미수금</x:v>
      </x:c>
      <x:c r="L4" s="19">
        <x:f>'② 견적리스트'!W5</x:f>
        <x:v>0</x:v>
      </x:c>
    </x:row>
    <x:row r="5" spans="1:12">
      <x:c r="A5" s="14" t="str">
        <x:f>'② 견적리스트'!A6</x:f>
        <x:v>스마트 생태공장</x:v>
      </x:c>
      <x:c r="B5" s="14" t="str">
        <x:f>'② 견적리스트'!D6</x:f>
        <x:v>(주)을화 비산공장</x:v>
      </x:c>
      <x:c r="C5" s="14" t="str">
        <x:f>'② 견적리스트'!E6</x:f>
        <x:v>아이언텍</x:v>
      </x:c>
      <x:c r="D5" s="17">
        <x:f>'② 견적리스트'!K6</x:f>
        <x:v>96800000</x:v>
      </x:c>
      <x:c r="E5" s="14" t="str">
        <x:f>'② 견적리스트'!L6</x:f>
        <x:v>대기</x:v>
      </x:c>
      <x:c r="F5" s="18">
        <x:f>'② 견적리스트'!M6</x:f>
        <x:v>0</x:v>
      </x:c>
      <x:c r="G5" s="18">
        <x:f>'② 견적리스트'!N6</x:f>
        <x:v>0</x:v>
      </x:c>
      <x:c r="H5" s="17">
        <x:f>'② 견적리스트'!P6</x:f>
        <x:v>48400000</x:v>
      </x:c>
      <x:c r="I5" s="14" t="str">
        <x:f>'② 견적리스트'!R6</x:f>
        <x:v>미수금</x:v>
      </x:c>
      <x:c r="J5" s="17">
        <x:f>'② 견적리스트'!T6</x:f>
        <x:v>48400000</x:v>
      </x:c>
      <x:c r="K5" s="14" t="str">
        <x:f>'② 견적리스트'!V6</x:f>
        <x:v>미수금</x:v>
      </x:c>
      <x:c r="L5" s="19">
        <x:f>'② 견적리스트'!W6</x:f>
        <x:v>0</x:v>
      </x:c>
    </x:row>
    <x:row r="6" spans="1:12">
      <x:c r="A6" s="14" t="str">
        <x:f>'② 견적리스트'!A7</x:f>
        <x:v>스마트 생태공장</x:v>
      </x:c>
      <x:c r="B6" s="14" t="str">
        <x:f>'② 견적리스트'!D7</x:f>
        <x:v>신한염직</x:v>
      </x:c>
      <x:c r="C6" s="14" t="str">
        <x:f>'② 견적리스트'!E7</x:f>
        <x:v>GS시스템</x:v>
      </x:c>
      <x:c r="D6" s="17">
        <x:f>'② 견적리스트'!K7</x:f>
        <x:v>68200000</x:v>
      </x:c>
      <x:c r="E6" s="14" t="str">
        <x:f>'② 견적리스트'!L7</x:f>
        <x:v>대기</x:v>
      </x:c>
      <x:c r="F6" s="18">
        <x:f>'② 견적리스트'!M7</x:f>
        <x:v>0</x:v>
      </x:c>
      <x:c r="G6" s="18">
        <x:f>'② 견적리스트'!N7</x:f>
        <x:v>0</x:v>
      </x:c>
      <x:c r="H6" s="17">
        <x:f>'② 견적리스트'!P7</x:f>
        <x:v>34100000</x:v>
      </x:c>
      <x:c r="I6" s="14" t="str">
        <x:f>'② 견적리스트'!R7</x:f>
        <x:v>미수금</x:v>
      </x:c>
      <x:c r="J6" s="17">
        <x:f>'② 견적리스트'!T7</x:f>
        <x:v>34100000</x:v>
      </x:c>
      <x:c r="K6" s="14" t="str">
        <x:f>'② 견적리스트'!V7</x:f>
        <x:v>미수금</x:v>
      </x:c>
      <x:c r="L6" s="19">
        <x:f>'② 견적리스트'!W7</x:f>
        <x:v>0</x:v>
      </x:c>
    </x:row>
    <x:row r="7" spans="1:12">
      <x:c r="A7" s="14" t="str">
        <x:f>'② 견적리스트'!A8</x:f>
        <x:v>스마트 생태공장</x:v>
      </x:c>
      <x:c r="B7" s="14" t="str">
        <x:f>'② 견적리스트'!D8</x:f>
        <x:v>원풍물산</x:v>
      </x:c>
      <x:c r="C7" s="14" t="str">
        <x:f>'② 견적리스트'!E8</x:f>
        <x:v>GS시스템</x:v>
      </x:c>
      <x:c r="D7" s="17">
        <x:f>'② 견적리스트'!K8</x:f>
        <x:v>58300000</x:v>
      </x:c>
      <x:c r="E7" s="14" t="str">
        <x:f>'② 견적리스트'!L8</x:f>
        <x:v>대기</x:v>
      </x:c>
      <x:c r="F7" s="18">
        <x:f>'② 견적리스트'!M8</x:f>
        <x:v>0</x:v>
      </x:c>
      <x:c r="G7" s="18">
        <x:f>'② 견적리스트'!N8</x:f>
        <x:v>0</x:v>
      </x:c>
      <x:c r="H7" s="17">
        <x:f>'② 견적리스트'!P8</x:f>
        <x:v>29150000</x:v>
      </x:c>
      <x:c r="I7" s="14" t="str">
        <x:f>'② 견적리스트'!R8</x:f>
        <x:v>미수금</x:v>
      </x:c>
      <x:c r="J7" s="17">
        <x:f>'② 견적리스트'!T8</x:f>
        <x:v>29150000</x:v>
      </x:c>
      <x:c r="K7" s="14" t="str">
        <x:f>'② 견적리스트'!V8</x:f>
        <x:v>미수금</x:v>
      </x:c>
      <x:c r="L7" s="19">
        <x:f>'② 견적리스트'!W8</x:f>
        <x:v>0</x:v>
      </x:c>
    </x:row>
    <x:row r="8" spans="1:12">
      <x:c r="A8" s="14" t="str">
        <x:f>'② 견적리스트'!A9</x:f>
        <x:v>스마트 생태공장</x:v>
      </x:c>
      <x:c r="B8" s="14" t="str">
        <x:f>'② 견적리스트'!D9</x:f>
        <x:v>우성염직</x:v>
      </x:c>
      <x:c r="C8" s="14" t="str">
        <x:f>'② 견적리스트'!E9</x:f>
        <x:v>GS시스템</x:v>
      </x:c>
      <x:c r="D8" s="17">
        <x:f>'② 견적리스트'!K9</x:f>
        <x:v>57200000</x:v>
      </x:c>
      <x:c r="E8" s="14" t="str">
        <x:f>'② 견적리스트'!L9</x:f>
        <x:v>대기</x:v>
      </x:c>
      <x:c r="F8" s="18">
        <x:f>'② 견적리스트'!M9</x:f>
        <x:v>0</x:v>
      </x:c>
      <x:c r="G8" s="18">
        <x:f>'② 견적리스트'!N9</x:f>
        <x:v>0</x:v>
      </x:c>
      <x:c r="H8" s="17">
        <x:f>'② 견적리스트'!P9</x:f>
        <x:v>28600000</x:v>
      </x:c>
      <x:c r="I8" s="14" t="str">
        <x:f>'② 견적리스트'!R9</x:f>
        <x:v>미수금</x:v>
      </x:c>
      <x:c r="J8" s="17">
        <x:f>'② 견적리스트'!T9</x:f>
        <x:v>28600000</x:v>
      </x:c>
      <x:c r="K8" s="14" t="str">
        <x:f>'② 견적리스트'!V9</x:f>
        <x:v>미수금</x:v>
      </x:c>
      <x:c r="L8" s="19">
        <x:f>'② 견적리스트'!W9</x:f>
        <x:v>0</x:v>
      </x:c>
    </x:row>
    <x:row r="9" spans="1:12">
      <x:c r="A9" s="14" t="str">
        <x:f>'② 견적리스트'!A10</x:f>
        <x:v>스마트 생태공장</x:v>
      </x:c>
      <x:c r="B9" s="14" t="str">
        <x:f>'② 견적리스트'!D10</x:f>
        <x:v>한국에이스</x:v>
      </x:c>
      <x:c r="C9" s="14" t="str">
        <x:f>'② 견적리스트'!E10</x:f>
        <x:v>GS시스템</x:v>
      </x:c>
      <x:c r="D9" s="17">
        <x:f>'② 견적리스트'!K10</x:f>
        <x:v>50600000</x:v>
      </x:c>
      <x:c r="E9" s="14" t="str">
        <x:f>'② 견적리스트'!L10</x:f>
        <x:v>대기</x:v>
      </x:c>
      <x:c r="F9" s="18">
        <x:f>'② 견적리스트'!M10</x:f>
        <x:v>0</x:v>
      </x:c>
      <x:c r="G9" s="18">
        <x:f>'② 견적리스트'!N10</x:f>
        <x:v>0</x:v>
      </x:c>
      <x:c r="H9" s="17">
        <x:f>'② 견적리스트'!P10</x:f>
        <x:v>25300000</x:v>
      </x:c>
      <x:c r="I9" s="14" t="str">
        <x:f>'② 견적리스트'!R10</x:f>
        <x:v>미수금</x:v>
      </x:c>
      <x:c r="J9" s="17">
        <x:f>'② 견적리스트'!T10</x:f>
        <x:v>25300000</x:v>
      </x:c>
      <x:c r="K9" s="14" t="str">
        <x:f>'② 견적리스트'!V10</x:f>
        <x:v>미수금</x:v>
      </x:c>
      <x:c r="L9" s="19">
        <x:f>'② 견적리스트'!W10</x:f>
        <x:v>0</x:v>
      </x:c>
    </x:row>
    <x:row r="10" spans="1:12">
      <x:c r="A10" s="14" t="str">
        <x:f>'② 견적리스트'!A11</x:f>
        <x:v>섬유 제조 자동화</x:v>
      </x:c>
      <x:c r="B10" s="14" t="str">
        <x:f>'② 견적리스트'!D11</x:f>
        <x:v>대영염공(주)</x:v>
      </x:c>
      <x:c r="C10" s="14" t="str">
        <x:f>'② 견적리스트'!E11</x:f>
        <x:v>GS시스템</x:v>
      </x:c>
      <x:c r="D10" s="17">
        <x:f>'② 견적리스트'!K11</x:f>
        <x:v>77000000</x:v>
      </x:c>
      <x:c r="E10" s="14" t="str">
        <x:f>'② 견적리스트'!L11</x:f>
        <x:v>대기</x:v>
      </x:c>
      <x:c r="F10" s="18">
        <x:f>'② 견적리스트'!M11</x:f>
        <x:v>0</x:v>
      </x:c>
      <x:c r="G10" s="18">
        <x:f>'② 견적리스트'!N11</x:f>
        <x:v>0</x:v>
      </x:c>
      <x:c r="H10" s="17">
        <x:f>'② 견적리스트'!P11</x:f>
        <x:v>38500000</x:v>
      </x:c>
      <x:c r="I10" s="14" t="str">
        <x:f>'② 견적리스트'!R11</x:f>
        <x:v>미수금</x:v>
      </x:c>
      <x:c r="J10" s="17">
        <x:f>'② 견적리스트'!T11</x:f>
        <x:v>38500000</x:v>
      </x:c>
      <x:c r="K10" s="14" t="str">
        <x:f>'② 견적리스트'!V11</x:f>
        <x:v>미수금</x:v>
      </x:c>
      <x:c r="L10" s="19">
        <x:f>'② 견적리스트'!W11</x:f>
        <x:v>0</x:v>
      </x:c>
    </x:row>
    <x:row r="11" spans="1:12">
      <x:c r="A11" s="14" t="str">
        <x:f>'② 견적리스트'!A12</x:f>
        <x:v>섬유 제조 자동화</x:v>
      </x:c>
      <x:c r="B11" s="14" t="str">
        <x:f>'② 견적리스트'!D12</x:f>
        <x:v>벽진BIO텍</x:v>
      </x:c>
      <x:c r="C11" s="14" t="str">
        <x:f>'② 견적리스트'!E12</x:f>
        <x:v>GS시스템</x:v>
      </x:c>
      <x:c r="D11" s="17">
        <x:f>'② 견적리스트'!K12</x:f>
        <x:v>77000000</x:v>
      </x:c>
      <x:c r="E11" s="14" t="str">
        <x:f>'② 견적리스트'!L12</x:f>
        <x:v>대기</x:v>
      </x:c>
      <x:c r="F11" s="18">
        <x:f>'② 견적리스트'!M12</x:f>
        <x:v>0</x:v>
      </x:c>
      <x:c r="G11" s="18">
        <x:f>'② 견적리스트'!N12</x:f>
        <x:v>0</x:v>
      </x:c>
      <x:c r="H11" s="17">
        <x:f>'② 견적리스트'!P12</x:f>
        <x:v>38500000</x:v>
      </x:c>
      <x:c r="I11" s="14" t="str">
        <x:f>'② 견적리스트'!R12</x:f>
        <x:v>미수금</x:v>
      </x:c>
      <x:c r="J11" s="17">
        <x:f>'② 견적리스트'!T12</x:f>
        <x:v>38500000</x:v>
      </x:c>
      <x:c r="K11" s="14" t="str">
        <x:f>'② 견적리스트'!V12</x:f>
        <x:v>미수금</x:v>
      </x:c>
      <x:c r="L11" s="19">
        <x:f>'② 견적리스트'!W12</x:f>
        <x:v>0</x:v>
      </x:c>
    </x:row>
    <x:row r="12" spans="1:12">
      <x:c r="A12" s="14" t="str">
        <x:f>'② 견적리스트'!A13</x:f>
        <x:v xml:space="preserve"> 화학안전 사업장 조성</x:v>
      </x:c>
      <x:c r="B12" s="14" t="str">
        <x:f>'② 견적리스트'!D13</x:f>
        <x:v>을화</x:v>
      </x:c>
      <x:c r="C12" s="14">
        <x:f>'② 견적리스트'!E13</x:f>
        <x:v>0</x:v>
      </x:c>
      <x:c r="D12" s="17" t="str">
        <x:f>'② 견적리스트'!K13</x:f>
        <x:v/>
      </x:c>
      <x:c r="E12" s="14">
        <x:f>'② 견적리스트'!L13</x:f>
        <x:v>0</x:v>
      </x:c>
      <x:c r="F12" s="18">
        <x:f>'② 견적리스트'!M13</x:f>
        <x:v>0</x:v>
      </x:c>
      <x:c r="G12" s="18">
        <x:f>'② 견적리스트'!N13</x:f>
        <x:v>0</x:v>
      </x:c>
      <x:c r="H12" s="17" t="str">
        <x:f>'② 견적리스트'!P13</x:f>
        <x:v/>
      </x:c>
      <x:c r="I12" s="14">
        <x:f>'② 견적리스트'!R13</x:f>
        <x:v>0</x:v>
      </x:c>
      <x:c r="J12" s="17" t="str">
        <x:f>'② 견적리스트'!T13</x:f>
        <x:v/>
      </x:c>
      <x:c r="K12" s="14">
        <x:f>'② 견적리스트'!V13</x:f>
        <x:v>0</x:v>
      </x:c>
      <x:c r="L12" s="19" t="str">
        <x:f>'② 견적리스트'!W13</x:f>
        <x:v/>
      </x:c>
    </x:row>
    <x:row r="13" spans="1:12">
      <x:c r="A13" s="14" t="str">
        <x:f>'② 견적리스트'!A14</x:f>
        <x:v>공정저탄소</x:v>
      </x:c>
      <x:c r="B13" s="14" t="str">
        <x:f>'② 견적리스트'!D14</x:f>
        <x:v>원풍물산</x:v>
      </x:c>
      <x:c r="C13" s="14">
        <x:f>'② 견적리스트'!E14</x:f>
        <x:v>0</x:v>
      </x:c>
      <x:c r="D13" s="17" t="str">
        <x:f>'② 견적리스트'!K14</x:f>
        <x:v/>
      </x:c>
      <x:c r="E13" s="14">
        <x:f>'② 견적리스트'!L14</x:f>
        <x:v>0</x:v>
      </x:c>
      <x:c r="F13" s="18">
        <x:f>'② 견적리스트'!M14</x:f>
        <x:v>0</x:v>
      </x:c>
      <x:c r="G13" s="18">
        <x:f>'② 견적리스트'!N14</x:f>
        <x:v>0</x:v>
      </x:c>
      <x:c r="H13" s="17" t="str">
        <x:f>'② 견적리스트'!P14</x:f>
        <x:v/>
      </x:c>
      <x:c r="I13" s="14">
        <x:f>'② 견적리스트'!R14</x:f>
        <x:v>0</x:v>
      </x:c>
      <x:c r="J13" s="17" t="str">
        <x:f>'② 견적리스트'!T14</x:f>
        <x:v/>
      </x:c>
      <x:c r="K13" s="14">
        <x:f>'② 견적리스트'!V14</x:f>
        <x:v>0</x:v>
      </x:c>
      <x:c r="L13" s="19" t="str">
        <x:f>'② 견적리스트'!W14</x:f>
        <x:v/>
      </x:c>
    </x:row>
    <x:row r="14" spans="1:12">
      <x:c r="A14" s="14" t="str">
        <x:f>'② 견적리스트'!A15</x:f>
        <x:v xml:space="preserve">공정저탄소 </x:v>
      </x:c>
      <x:c r="B14" s="14" t="str">
        <x:f>'② 견적리스트'!D15</x:f>
        <x:v>통합</x:v>
      </x:c>
      <x:c r="C14" s="14">
        <x:f>'② 견적리스트'!E15</x:f>
        <x:v>0</x:v>
      </x:c>
      <x:c r="D14" s="17" t="str">
        <x:f>'② 견적리스트'!K15</x:f>
        <x:v/>
      </x:c>
      <x:c r="E14" s="14">
        <x:f>'② 견적리스트'!L15</x:f>
        <x:v>0</x:v>
      </x:c>
      <x:c r="F14" s="18">
        <x:f>'② 견적리스트'!M15</x:f>
        <x:v>0</x:v>
      </x:c>
      <x:c r="G14" s="18">
        <x:f>'② 견적리스트'!N15</x:f>
        <x:v>0</x:v>
      </x:c>
      <x:c r="H14" s="17" t="str">
        <x:f>'② 견적리스트'!P15</x:f>
        <x:v/>
      </x:c>
      <x:c r="I14" s="14">
        <x:f>'② 견적리스트'!R15</x:f>
        <x:v>0</x:v>
      </x:c>
      <x:c r="J14" s="17" t="str">
        <x:f>'② 견적리스트'!T15</x:f>
        <x:v/>
      </x:c>
      <x:c r="K14" s="14">
        <x:f>'② 견적리스트'!V15</x:f>
        <x:v>0</x:v>
      </x:c>
      <x:c r="L14" s="19" t="str">
        <x:f>'② 견적리스트'!W15</x:f>
        <x:v/>
      </x:c>
    </x:row>
    <x:row r="15" spans="1:12">
      <x:c r="A15" s="14" t="str">
        <x:f>'② 견적리스트'!A16</x:f>
        <x:v>상생협력 실증 프로그램</x:v>
      </x:c>
      <x:c r="B15" s="14" t="str">
        <x:f>'② 견적리스트'!D16</x:f>
        <x:v>대영염공(주)</x:v>
      </x:c>
      <x:c r="C15" s="14">
        <x:f>'② 견적리스트'!E16</x:f>
        <x:v>0</x:v>
      </x:c>
      <x:c r="D15" s="17" t="str">
        <x:f>'② 견적리스트'!K16</x:f>
        <x:v/>
      </x:c>
      <x:c r="E15" s="14">
        <x:f>'② 견적리스트'!L16</x:f>
        <x:v>0</x:v>
      </x:c>
      <x:c r="F15" s="18">
        <x:f>'② 견적리스트'!M16</x:f>
        <x:v>0</x:v>
      </x:c>
      <x:c r="G15" s="18">
        <x:f>'② 견적리스트'!N16</x:f>
        <x:v>0</x:v>
      </x:c>
      <x:c r="H15" s="17" t="str">
        <x:f>'② 견적리스트'!P16</x:f>
        <x:v/>
      </x:c>
      <x:c r="I15" s="14">
        <x:f>'② 견적리스트'!R16</x:f>
        <x:v>0</x:v>
      </x:c>
      <x:c r="J15" s="17" t="str">
        <x:f>'② 견적리스트'!T16</x:f>
        <x:v/>
      </x:c>
      <x:c r="K15" s="14">
        <x:f>'② 견적리스트'!V16</x:f>
        <x:v>0</x:v>
      </x:c>
      <x:c r="L15" s="19" t="str">
        <x:f>'② 견적리스트'!W16</x:f>
        <x:v/>
      </x:c>
    </x:row>
    <x:row r="16" spans="1:12">
      <x:c r="A16" s="14" t="str">
        <x:f>'② 견적리스트'!A17</x:f>
        <x:v>공정저탄소</x:v>
      </x:c>
      <x:c r="B16" s="14" t="str">
        <x:f>'② 견적리스트'!D17</x:f>
        <x:v>부성</x:v>
      </x:c>
      <x:c r="C16" s="14">
        <x:f>'② 견적리스트'!E17</x:f>
        <x:v>0</x:v>
      </x:c>
      <x:c r="D16" s="17" t="str">
        <x:f>'② 견적리스트'!K17</x:f>
        <x:v/>
      </x:c>
      <x:c r="E16" s="14">
        <x:f>'② 견적리스트'!L17</x:f>
        <x:v>0</x:v>
      </x:c>
      <x:c r="F16" s="18">
        <x:f>'② 견적리스트'!M17</x:f>
        <x:v>0</x:v>
      </x:c>
      <x:c r="G16" s="18">
        <x:f>'② 견적리스트'!N17</x:f>
        <x:v>0</x:v>
      </x:c>
      <x:c r="H16" s="17" t="str">
        <x:f>'② 견적리스트'!P17</x:f>
        <x:v/>
      </x:c>
      <x:c r="I16" s="14">
        <x:f>'② 견적리스트'!R17</x:f>
        <x:v>0</x:v>
      </x:c>
      <x:c r="J16" s="17" t="str">
        <x:f>'② 견적리스트'!T17</x:f>
        <x:v/>
      </x:c>
      <x:c r="K16" s="14">
        <x:f>'② 견적리스트'!V17</x:f>
        <x:v>0</x:v>
      </x:c>
      <x:c r="L16" s="19" t="str">
        <x:f>'② 견적리스트'!W17</x:f>
        <x:v/>
      </x:c>
    </x:row>
    <x:row r="17" spans="1:12">
      <x:c r="A17" s="14">
        <x:f>'② 견적리스트'!A18</x:f>
        <x:v>0</x:v>
      </x:c>
      <x:c r="B17" s="14">
        <x:f>'② 견적리스트'!D18</x:f>
        <x:v>0</x:v>
      </x:c>
      <x:c r="C17" s="14">
        <x:f>'② 견적리스트'!E18</x:f>
        <x:v>0</x:v>
      </x:c>
      <x:c r="D17" s="17" t="str">
        <x:f>'② 견적리스트'!K18</x:f>
        <x:v/>
      </x:c>
      <x:c r="E17" s="14">
        <x:f>'② 견적리스트'!L18</x:f>
        <x:v>0</x:v>
      </x:c>
      <x:c r="F17" s="18">
        <x:f>'② 견적리스트'!M18</x:f>
        <x:v>0</x:v>
      </x:c>
      <x:c r="G17" s="18">
        <x:f>'② 견적리스트'!N18</x:f>
        <x:v>0</x:v>
      </x:c>
      <x:c r="H17" s="17" t="str">
        <x:f>'② 견적리스트'!P18</x:f>
        <x:v/>
      </x:c>
      <x:c r="I17" s="14">
        <x:f>'② 견적리스트'!R18</x:f>
        <x:v>0</x:v>
      </x:c>
      <x:c r="J17" s="17" t="str">
        <x:f>'② 견적리스트'!T18</x:f>
        <x:v/>
      </x:c>
      <x:c r="K17" s="14">
        <x:f>'② 견적리스트'!V18</x:f>
        <x:v>0</x:v>
      </x:c>
      <x:c r="L17" s="19" t="str">
        <x:f>'② 견적리스트'!W18</x:f>
        <x:v/>
      </x:c>
    </x:row>
    <x:row r="18" spans="1:12">
      <x:c r="A18" s="14">
        <x:f>'② 견적리스트'!A19</x:f>
        <x:v>0</x:v>
      </x:c>
      <x:c r="B18" s="14">
        <x:f>'② 견적리스트'!D19</x:f>
        <x:v>0</x:v>
      </x:c>
      <x:c r="C18" s="14">
        <x:f>'② 견적리스트'!E19</x:f>
        <x:v>0</x:v>
      </x:c>
      <x:c r="D18" s="17" t="str">
        <x:f>'② 견적리스트'!K19</x:f>
        <x:v/>
      </x:c>
      <x:c r="E18" s="14">
        <x:f>'② 견적리스트'!L19</x:f>
        <x:v>0</x:v>
      </x:c>
      <x:c r="F18" s="18">
        <x:f>'② 견적리스트'!M19</x:f>
        <x:v>0</x:v>
      </x:c>
      <x:c r="G18" s="18">
        <x:f>'② 견적리스트'!N19</x:f>
        <x:v>0</x:v>
      </x:c>
      <x:c r="H18" s="17" t="str">
        <x:f>'② 견적리스트'!P19</x:f>
        <x:v/>
      </x:c>
      <x:c r="I18" s="14">
        <x:f>'② 견적리스트'!R19</x:f>
        <x:v>0</x:v>
      </x:c>
      <x:c r="J18" s="17" t="str">
        <x:f>'② 견적리스트'!T19</x:f>
        <x:v/>
      </x:c>
      <x:c r="K18" s="14">
        <x:f>'② 견적리스트'!V19</x:f>
        <x:v>0</x:v>
      </x:c>
      <x:c r="L18" s="19" t="str">
        <x:f>'② 견적리스트'!W19</x:f>
        <x:v/>
      </x:c>
    </x:row>
    <x:row r="19" spans="1:12">
      <x:c r="A19" s="14">
        <x:f>'② 견적리스트'!A20</x:f>
        <x:v>0</x:v>
      </x:c>
      <x:c r="B19" s="14">
        <x:f>'② 견적리스트'!D20</x:f>
        <x:v>0</x:v>
      </x:c>
      <x:c r="C19" s="14">
        <x:f>'② 견적리스트'!E20</x:f>
        <x:v>0</x:v>
      </x:c>
      <x:c r="D19" s="17" t="str">
        <x:f>'② 견적리스트'!K20</x:f>
        <x:v/>
      </x:c>
      <x:c r="E19" s="14">
        <x:f>'② 견적리스트'!L20</x:f>
        <x:v>0</x:v>
      </x:c>
      <x:c r="F19" s="18">
        <x:f>'② 견적리스트'!M20</x:f>
        <x:v>0</x:v>
      </x:c>
      <x:c r="G19" s="18">
        <x:f>'② 견적리스트'!N20</x:f>
        <x:v>0</x:v>
      </x:c>
      <x:c r="H19" s="17" t="str">
        <x:f>'② 견적리스트'!P20</x:f>
        <x:v/>
      </x:c>
      <x:c r="I19" s="14">
        <x:f>'② 견적리스트'!R20</x:f>
        <x:v>0</x:v>
      </x:c>
      <x:c r="J19" s="17" t="str">
        <x:f>'② 견적리스트'!T20</x:f>
        <x:v/>
      </x:c>
      <x:c r="K19" s="14">
        <x:f>'② 견적리스트'!V20</x:f>
        <x:v>0</x:v>
      </x:c>
      <x:c r="L19" s="19" t="str">
        <x:f>'② 견적리스트'!W20</x:f>
        <x:v/>
      </x:c>
    </x:row>
    <x:row r="20" spans="1:12">
      <x:c r="A20" s="14">
        <x:f>'② 견적리스트'!A21</x:f>
        <x:v>0</x:v>
      </x:c>
      <x:c r="B20" s="14">
        <x:f>'② 견적리스트'!D21</x:f>
        <x:v>0</x:v>
      </x:c>
      <x:c r="C20" s="14">
        <x:f>'② 견적리스트'!E21</x:f>
        <x:v>0</x:v>
      </x:c>
      <x:c r="D20" s="17" t="str">
        <x:f>'② 견적리스트'!K21</x:f>
        <x:v/>
      </x:c>
      <x:c r="E20" s="14">
        <x:f>'② 견적리스트'!L21</x:f>
        <x:v>0</x:v>
      </x:c>
      <x:c r="F20" s="18">
        <x:f>'② 견적리스트'!M21</x:f>
        <x:v>0</x:v>
      </x:c>
      <x:c r="G20" s="18">
        <x:f>'② 견적리스트'!N21</x:f>
        <x:v>0</x:v>
      </x:c>
      <x:c r="H20" s="17" t="str">
        <x:f>'② 견적리스트'!P21</x:f>
        <x:v/>
      </x:c>
      <x:c r="I20" s="14">
        <x:f>'② 견적리스트'!R21</x:f>
        <x:v>0</x:v>
      </x:c>
      <x:c r="J20" s="17" t="str">
        <x:f>'② 견적리스트'!T21</x:f>
        <x:v/>
      </x:c>
      <x:c r="K20" s="14">
        <x:f>'② 견적리스트'!V21</x:f>
        <x:v>0</x:v>
      </x:c>
      <x:c r="L20" s="19" t="str">
        <x:f>'② 견적리스트'!W21</x:f>
        <x:v/>
      </x:c>
    </x:row>
    <x:row r="21" spans="1:12">
      <x:c r="A21" s="14">
        <x:f>'② 견적리스트'!A22</x:f>
        <x:v>0</x:v>
      </x:c>
      <x:c r="B21" s="14">
        <x:f>'② 견적리스트'!D22</x:f>
        <x:v>0</x:v>
      </x:c>
      <x:c r="C21" s="14">
        <x:f>'② 견적리스트'!E22</x:f>
        <x:v>0</x:v>
      </x:c>
      <x:c r="D21" s="17" t="str">
        <x:f>'② 견적리스트'!K22</x:f>
        <x:v/>
      </x:c>
      <x:c r="E21" s="14">
        <x:f>'② 견적리스트'!L22</x:f>
        <x:v>0</x:v>
      </x:c>
      <x:c r="F21" s="18">
        <x:f>'② 견적리스트'!M22</x:f>
        <x:v>0</x:v>
      </x:c>
      <x:c r="G21" s="18">
        <x:f>'② 견적리스트'!N22</x:f>
        <x:v>0</x:v>
      </x:c>
      <x:c r="H21" s="17" t="str">
        <x:f>'② 견적리스트'!P22</x:f>
        <x:v/>
      </x:c>
      <x:c r="I21" s="14">
        <x:f>'② 견적리스트'!R22</x:f>
        <x:v>0</x:v>
      </x:c>
      <x:c r="J21" s="17" t="str">
        <x:f>'② 견적리스트'!T22</x:f>
        <x:v/>
      </x:c>
      <x:c r="K21" s="14">
        <x:f>'② 견적리스트'!V22</x:f>
        <x:v>0</x:v>
      </x:c>
      <x:c r="L21" s="19" t="str">
        <x:f>'② 견적리스트'!W22</x:f>
        <x:v/>
      </x:c>
    </x:row>
    <x:row r="22" spans="1:12">
      <x:c r="A22" s="14">
        <x:f>'② 견적리스트'!A23</x:f>
        <x:v>0</x:v>
      </x:c>
      <x:c r="B22" s="14">
        <x:f>'② 견적리스트'!D23</x:f>
        <x:v>0</x:v>
      </x:c>
      <x:c r="C22" s="14">
        <x:f>'② 견적리스트'!E23</x:f>
        <x:v>0</x:v>
      </x:c>
      <x:c r="D22" s="17" t="str">
        <x:f>'② 견적리스트'!K23</x:f>
        <x:v/>
      </x:c>
      <x:c r="E22" s="14">
        <x:f>'② 견적리스트'!L23</x:f>
        <x:v>0</x:v>
      </x:c>
      <x:c r="F22" s="18">
        <x:f>'② 견적리스트'!M23</x:f>
        <x:v>0</x:v>
      </x:c>
      <x:c r="G22" s="18">
        <x:f>'② 견적리스트'!N23</x:f>
        <x:v>0</x:v>
      </x:c>
      <x:c r="H22" s="17" t="str">
        <x:f>'② 견적리스트'!P23</x:f>
        <x:v/>
      </x:c>
      <x:c r="I22" s="14">
        <x:f>'② 견적리스트'!R23</x:f>
        <x:v>0</x:v>
      </x:c>
      <x:c r="J22" s="17" t="str">
        <x:f>'② 견적리스트'!T23</x:f>
        <x:v/>
      </x:c>
      <x:c r="K22" s="14">
        <x:f>'② 견적리스트'!V23</x:f>
        <x:v>0</x:v>
      </x:c>
      <x:c r="L22" s="19" t="str">
        <x:f>'② 견적리스트'!W23</x:f>
        <x:v/>
      </x:c>
    </x:row>
    <x:row r="23" spans="1:12">
      <x:c r="A23" s="14">
        <x:f>'② 견적리스트'!A24</x:f>
        <x:v>0</x:v>
      </x:c>
      <x:c r="B23" s="14">
        <x:f>'② 견적리스트'!D24</x:f>
        <x:v>0</x:v>
      </x:c>
      <x:c r="C23" s="14">
        <x:f>'② 견적리스트'!E24</x:f>
        <x:v>0</x:v>
      </x:c>
      <x:c r="D23" s="17" t="str">
        <x:f>'② 견적리스트'!K24</x:f>
        <x:v/>
      </x:c>
      <x:c r="E23" s="14">
        <x:f>'② 견적리스트'!L24</x:f>
        <x:v>0</x:v>
      </x:c>
      <x:c r="F23" s="18">
        <x:f>'② 견적리스트'!M24</x:f>
        <x:v>0</x:v>
      </x:c>
      <x:c r="G23" s="18">
        <x:f>'② 견적리스트'!N24</x:f>
        <x:v>0</x:v>
      </x:c>
      <x:c r="H23" s="17" t="str">
        <x:f>'② 견적리스트'!P24</x:f>
        <x:v/>
      </x:c>
      <x:c r="I23" s="14">
        <x:f>'② 견적리스트'!R24</x:f>
        <x:v>0</x:v>
      </x:c>
      <x:c r="J23" s="17" t="str">
        <x:f>'② 견적리스트'!T24</x:f>
        <x:v/>
      </x:c>
      <x:c r="K23" s="14">
        <x:f>'② 견적리스트'!V24</x:f>
        <x:v>0</x:v>
      </x:c>
      <x:c r="L23" s="19" t="str">
        <x:f>'② 견적리스트'!W24</x:f>
        <x:v/>
      </x:c>
    </x:row>
    <x:row r="24" spans="1:12">
      <x:c r="A24" s="14">
        <x:f>'② 견적리스트'!A25</x:f>
        <x:v>0</x:v>
      </x:c>
      <x:c r="B24" s="14">
        <x:f>'② 견적리스트'!D25</x:f>
        <x:v>0</x:v>
      </x:c>
      <x:c r="C24" s="14">
        <x:f>'② 견적리스트'!E25</x:f>
        <x:v>0</x:v>
      </x:c>
      <x:c r="D24" s="17" t="str">
        <x:f>'② 견적리스트'!K25</x:f>
        <x:v/>
      </x:c>
      <x:c r="E24" s="14">
        <x:f>'② 견적리스트'!L25</x:f>
        <x:v>0</x:v>
      </x:c>
      <x:c r="F24" s="18">
        <x:f>'② 견적리스트'!M25</x:f>
        <x:v>0</x:v>
      </x:c>
      <x:c r="G24" s="18">
        <x:f>'② 견적리스트'!N25</x:f>
        <x:v>0</x:v>
      </x:c>
      <x:c r="H24" s="17" t="str">
        <x:f>'② 견적리스트'!P25</x:f>
        <x:v/>
      </x:c>
      <x:c r="I24" s="14">
        <x:f>'② 견적리스트'!R25</x:f>
        <x:v>0</x:v>
      </x:c>
      <x:c r="J24" s="17" t="str">
        <x:f>'② 견적리스트'!T25</x:f>
        <x:v/>
      </x:c>
      <x:c r="K24" s="14">
        <x:f>'② 견적리스트'!V25</x:f>
        <x:v>0</x:v>
      </x:c>
      <x:c r="L24" s="19" t="str">
        <x:f>'② 견적리스트'!W25</x:f>
        <x:v/>
      </x:c>
    </x:row>
    <x:row r="25" spans="1:12">
      <x:c r="A25" s="14">
        <x:f>'② 견적리스트'!A26</x:f>
        <x:v>0</x:v>
      </x:c>
      <x:c r="B25" s="14">
        <x:f>'② 견적리스트'!D26</x:f>
        <x:v>0</x:v>
      </x:c>
      <x:c r="C25" s="14">
        <x:f>'② 견적리스트'!E26</x:f>
        <x:v>0</x:v>
      </x:c>
      <x:c r="D25" s="17" t="str">
        <x:f>'② 견적리스트'!K26</x:f>
        <x:v/>
      </x:c>
      <x:c r="E25" s="14">
        <x:f>'② 견적리스트'!L26</x:f>
        <x:v>0</x:v>
      </x:c>
      <x:c r="F25" s="18">
        <x:f>'② 견적리스트'!M26</x:f>
        <x:v>0</x:v>
      </x:c>
      <x:c r="G25" s="18">
        <x:f>'② 견적리스트'!N26</x:f>
        <x:v>0</x:v>
      </x:c>
      <x:c r="H25" s="17" t="str">
        <x:f>'② 견적리스트'!P26</x:f>
        <x:v/>
      </x:c>
      <x:c r="I25" s="14">
        <x:f>'② 견적리스트'!R26</x:f>
        <x:v>0</x:v>
      </x:c>
      <x:c r="J25" s="17" t="str">
        <x:f>'② 견적리스트'!T26</x:f>
        <x:v/>
      </x:c>
      <x:c r="K25" s="14">
        <x:f>'② 견적리스트'!V26</x:f>
        <x:v>0</x:v>
      </x:c>
      <x:c r="L25" s="19" t="str">
        <x:f>'② 견적리스트'!W26</x:f>
        <x:v/>
      </x:c>
    </x:row>
    <x:row r="26" spans="1:12">
      <x:c r="A26" s="14">
        <x:f>'② 견적리스트'!A27</x:f>
        <x:v>0</x:v>
      </x:c>
      <x:c r="B26" s="14">
        <x:f>'② 견적리스트'!D27</x:f>
        <x:v>0</x:v>
      </x:c>
      <x:c r="C26" s="14">
        <x:f>'② 견적리스트'!E27</x:f>
        <x:v>0</x:v>
      </x:c>
      <x:c r="D26" s="17" t="str">
        <x:f>'② 견적리스트'!K27</x:f>
        <x:v/>
      </x:c>
      <x:c r="E26" s="14">
        <x:f>'② 견적리스트'!L27</x:f>
        <x:v>0</x:v>
      </x:c>
      <x:c r="F26" s="18">
        <x:f>'② 견적리스트'!M27</x:f>
        <x:v>0</x:v>
      </x:c>
      <x:c r="G26" s="18">
        <x:f>'② 견적리스트'!N27</x:f>
        <x:v>0</x:v>
      </x:c>
      <x:c r="H26" s="17" t="str">
        <x:f>'② 견적리스트'!P27</x:f>
        <x:v/>
      </x:c>
      <x:c r="I26" s="14">
        <x:f>'② 견적리스트'!R27</x:f>
        <x:v>0</x:v>
      </x:c>
      <x:c r="J26" s="17" t="str">
        <x:f>'② 견적리스트'!T27</x:f>
        <x:v/>
      </x:c>
      <x:c r="K26" s="14">
        <x:f>'② 견적리스트'!V27</x:f>
        <x:v>0</x:v>
      </x:c>
      <x:c r="L26" s="19" t="str">
        <x:f>'② 견적리스트'!W27</x:f>
        <x:v/>
      </x:c>
    </x:row>
    <x:row r="27" spans="1:12">
      <x:c r="A27" s="14">
        <x:f>'② 견적리스트'!A28</x:f>
        <x:v>0</x:v>
      </x:c>
      <x:c r="B27" s="14">
        <x:f>'② 견적리스트'!D28</x:f>
        <x:v>0</x:v>
      </x:c>
      <x:c r="C27" s="14">
        <x:f>'② 견적리스트'!E28</x:f>
        <x:v>0</x:v>
      </x:c>
      <x:c r="D27" s="17" t="str">
        <x:f>'② 견적리스트'!K28</x:f>
        <x:v/>
      </x:c>
      <x:c r="E27" s="14">
        <x:f>'② 견적리스트'!L28</x:f>
        <x:v>0</x:v>
      </x:c>
      <x:c r="F27" s="18">
        <x:f>'② 견적리스트'!M28</x:f>
        <x:v>0</x:v>
      </x:c>
      <x:c r="G27" s="18">
        <x:f>'② 견적리스트'!N28</x:f>
        <x:v>0</x:v>
      </x:c>
      <x:c r="H27" s="17" t="str">
        <x:f>'② 견적리스트'!P28</x:f>
        <x:v/>
      </x:c>
      <x:c r="I27" s="14">
        <x:f>'② 견적리스트'!R28</x:f>
        <x:v>0</x:v>
      </x:c>
      <x:c r="J27" s="17" t="str">
        <x:f>'② 견적리스트'!T28</x:f>
        <x:v/>
      </x:c>
      <x:c r="K27" s="14">
        <x:f>'② 견적리스트'!V28</x:f>
        <x:v>0</x:v>
      </x:c>
      <x:c r="L27" s="19" t="str">
        <x:f>'② 견적리스트'!W28</x:f>
        <x:v/>
      </x:c>
    </x:row>
    <x:row r="28" spans="1:12">
      <x:c r="A28" s="14">
        <x:f>'② 견적리스트'!A29</x:f>
        <x:v>0</x:v>
      </x:c>
      <x:c r="B28" s="14">
        <x:f>'② 견적리스트'!D29</x:f>
        <x:v>0</x:v>
      </x:c>
      <x:c r="C28" s="14">
        <x:f>'② 견적리스트'!E29</x:f>
        <x:v>0</x:v>
      </x:c>
      <x:c r="D28" s="17" t="str">
        <x:f>'② 견적리스트'!K29</x:f>
        <x:v/>
      </x:c>
      <x:c r="E28" s="14">
        <x:f>'② 견적리스트'!L29</x:f>
        <x:v>0</x:v>
      </x:c>
      <x:c r="F28" s="18">
        <x:f>'② 견적리스트'!M29</x:f>
        <x:v>0</x:v>
      </x:c>
      <x:c r="G28" s="18">
        <x:f>'② 견적리스트'!N29</x:f>
        <x:v>0</x:v>
      </x:c>
      <x:c r="H28" s="17" t="str">
        <x:f>'② 견적리스트'!P29</x:f>
        <x:v/>
      </x:c>
      <x:c r="I28" s="14">
        <x:f>'② 견적리스트'!R29</x:f>
        <x:v>0</x:v>
      </x:c>
      <x:c r="J28" s="17" t="str">
        <x:f>'② 견적리스트'!T29</x:f>
        <x:v/>
      </x:c>
      <x:c r="K28" s="14">
        <x:f>'② 견적리스트'!V29</x:f>
        <x:v>0</x:v>
      </x:c>
      <x:c r="L28" s="19" t="str">
        <x:f>'② 견적리스트'!W29</x:f>
        <x:v/>
      </x:c>
    </x:row>
    <x:row r="29" spans="1:12">
      <x:c r="A29" s="14">
        <x:f>'② 견적리스트'!A30</x:f>
        <x:v>0</x:v>
      </x:c>
      <x:c r="B29" s="14">
        <x:f>'② 견적리스트'!D30</x:f>
        <x:v>0</x:v>
      </x:c>
      <x:c r="C29" s="14">
        <x:f>'② 견적리스트'!E30</x:f>
        <x:v>0</x:v>
      </x:c>
      <x:c r="D29" s="17" t="str">
        <x:f>'② 견적리스트'!K30</x:f>
        <x:v/>
      </x:c>
      <x:c r="E29" s="14">
        <x:f>'② 견적리스트'!L30</x:f>
        <x:v>0</x:v>
      </x:c>
      <x:c r="F29" s="18">
        <x:f>'② 견적리스트'!M30</x:f>
        <x:v>0</x:v>
      </x:c>
      <x:c r="G29" s="18">
        <x:f>'② 견적리스트'!N30</x:f>
        <x:v>0</x:v>
      </x:c>
      <x:c r="H29" s="17" t="str">
        <x:f>'② 견적리스트'!P30</x:f>
        <x:v/>
      </x:c>
      <x:c r="I29" s="14">
        <x:f>'② 견적리스트'!R30</x:f>
        <x:v>0</x:v>
      </x:c>
      <x:c r="J29" s="17" t="str">
        <x:f>'② 견적리스트'!T30</x:f>
        <x:v/>
      </x:c>
      <x:c r="K29" s="14">
        <x:f>'② 견적리스트'!V30</x:f>
        <x:v>0</x:v>
      </x:c>
      <x:c r="L29" s="19" t="str">
        <x:f>'② 견적리스트'!W30</x:f>
        <x:v/>
      </x:c>
    </x:row>
    <x:row r="30" spans="1:12">
      <x:c r="A30" s="14">
        <x:f>'② 견적리스트'!A31</x:f>
        <x:v>0</x:v>
      </x:c>
      <x:c r="B30" s="14">
        <x:f>'② 견적리스트'!D31</x:f>
        <x:v>0</x:v>
      </x:c>
      <x:c r="C30" s="14">
        <x:f>'② 견적리스트'!E31</x:f>
        <x:v>0</x:v>
      </x:c>
      <x:c r="D30" s="17" t="str">
        <x:f>'② 견적리스트'!K31</x:f>
        <x:v/>
      </x:c>
      <x:c r="E30" s="14">
        <x:f>'② 견적리스트'!L31</x:f>
        <x:v>0</x:v>
      </x:c>
      <x:c r="F30" s="18">
        <x:f>'② 견적리스트'!M31</x:f>
        <x:v>0</x:v>
      </x:c>
      <x:c r="G30" s="18">
        <x:f>'② 견적리스트'!N31</x:f>
        <x:v>0</x:v>
      </x:c>
      <x:c r="H30" s="17" t="str">
        <x:f>'② 견적리스트'!P31</x:f>
        <x:v/>
      </x:c>
      <x:c r="I30" s="14">
        <x:f>'② 견적리스트'!R31</x:f>
        <x:v>0</x:v>
      </x:c>
      <x:c r="J30" s="17" t="str">
        <x:f>'② 견적리스트'!T31</x:f>
        <x:v/>
      </x:c>
      <x:c r="K30" s="14">
        <x:f>'② 견적리스트'!V31</x:f>
        <x:v>0</x:v>
      </x:c>
      <x:c r="L30" s="19" t="str">
        <x:f>'② 견적리스트'!W31</x:f>
        <x:v/>
      </x:c>
    </x:row>
    <x:row r="31" spans="1:12">
      <x:c r="A31" s="14">
        <x:f>'② 견적리스트'!A32</x:f>
        <x:v>0</x:v>
      </x:c>
      <x:c r="B31" s="14">
        <x:f>'② 견적리스트'!D32</x:f>
        <x:v>0</x:v>
      </x:c>
      <x:c r="C31" s="14">
        <x:f>'② 견적리스트'!E32</x:f>
        <x:v>0</x:v>
      </x:c>
      <x:c r="D31" s="17" t="str">
        <x:f>'② 견적리스트'!K32</x:f>
        <x:v/>
      </x:c>
      <x:c r="E31" s="14">
        <x:f>'② 견적리스트'!L32</x:f>
        <x:v>0</x:v>
      </x:c>
      <x:c r="F31" s="18">
        <x:f>'② 견적리스트'!M32</x:f>
        <x:v>0</x:v>
      </x:c>
      <x:c r="G31" s="18">
        <x:f>'② 견적리스트'!N32</x:f>
        <x:v>0</x:v>
      </x:c>
      <x:c r="H31" s="17" t="str">
        <x:f>'② 견적리스트'!P32</x:f>
        <x:v/>
      </x:c>
      <x:c r="I31" s="14">
        <x:f>'② 견적리스트'!R32</x:f>
        <x:v>0</x:v>
      </x:c>
      <x:c r="J31" s="17" t="str">
        <x:f>'② 견적리스트'!T32</x:f>
        <x:v/>
      </x:c>
      <x:c r="K31" s="14">
        <x:f>'② 견적리스트'!V32</x:f>
        <x:v>0</x:v>
      </x:c>
      <x:c r="L31" s="19" t="str">
        <x:f>'② 견적리스트'!W32</x:f>
        <x:v/>
      </x:c>
    </x:row>
    <x:row r="32" spans="1:12">
      <x:c r="A32" s="14">
        <x:f>'② 견적리스트'!A33</x:f>
        <x:v>0</x:v>
      </x:c>
      <x:c r="B32" s="14">
        <x:f>'② 견적리스트'!D33</x:f>
        <x:v>0</x:v>
      </x:c>
      <x:c r="C32" s="14">
        <x:f>'② 견적리스트'!E33</x:f>
        <x:v>0</x:v>
      </x:c>
      <x:c r="D32" s="17" t="str">
        <x:f>'② 견적리스트'!K33</x:f>
        <x:v/>
      </x:c>
      <x:c r="E32" s="14">
        <x:f>'② 견적리스트'!L33</x:f>
        <x:v>0</x:v>
      </x:c>
      <x:c r="F32" s="18">
        <x:f>'② 견적리스트'!M33</x:f>
        <x:v>0</x:v>
      </x:c>
      <x:c r="G32" s="18">
        <x:f>'② 견적리스트'!N33</x:f>
        <x:v>0</x:v>
      </x:c>
      <x:c r="H32" s="17" t="str">
        <x:f>'② 견적리스트'!P33</x:f>
        <x:v/>
      </x:c>
      <x:c r="I32" s="14">
        <x:f>'② 견적리스트'!R33</x:f>
        <x:v>0</x:v>
      </x:c>
      <x:c r="J32" s="17" t="str">
        <x:f>'② 견적리스트'!T33</x:f>
        <x:v/>
      </x:c>
      <x:c r="K32" s="14">
        <x:f>'② 견적리스트'!V33</x:f>
        <x:v>0</x:v>
      </x:c>
      <x:c r="L32" s="19" t="str">
        <x:f>'② 견적리스트'!W33</x:f>
        <x:v/>
      </x:c>
    </x:row>
    <x:row r="33" spans="1:12">
      <x:c r="A33" s="14">
        <x:f>'② 견적리스트'!A34</x:f>
        <x:v>0</x:v>
      </x:c>
      <x:c r="B33" s="14">
        <x:f>'② 견적리스트'!D34</x:f>
        <x:v>0</x:v>
      </x:c>
      <x:c r="C33" s="14">
        <x:f>'② 견적리스트'!E34</x:f>
        <x:v>0</x:v>
      </x:c>
      <x:c r="D33" s="17" t="str">
        <x:f>'② 견적리스트'!K34</x:f>
        <x:v/>
      </x:c>
      <x:c r="E33" s="14">
        <x:f>'② 견적리스트'!L34</x:f>
        <x:v>0</x:v>
      </x:c>
      <x:c r="F33" s="18">
        <x:f>'② 견적리스트'!M34</x:f>
        <x:v>0</x:v>
      </x:c>
      <x:c r="G33" s="18">
        <x:f>'② 견적리스트'!N34</x:f>
        <x:v>0</x:v>
      </x:c>
      <x:c r="H33" s="17" t="str">
        <x:f>'② 견적리스트'!P34</x:f>
        <x:v/>
      </x:c>
      <x:c r="I33" s="14">
        <x:f>'② 견적리스트'!R34</x:f>
        <x:v>0</x:v>
      </x:c>
      <x:c r="J33" s="17" t="str">
        <x:f>'② 견적리스트'!T34</x:f>
        <x:v/>
      </x:c>
      <x:c r="K33" s="14">
        <x:f>'② 견적리스트'!V34</x:f>
        <x:v>0</x:v>
      </x:c>
      <x:c r="L33" s="19" t="str">
        <x:f>'② 견적리스트'!W34</x:f>
        <x:v/>
      </x:c>
    </x:row>
    <x:row r="34" spans="1:12">
      <x:c r="A34" s="14">
        <x:f>'② 견적리스트'!A35</x:f>
        <x:v>0</x:v>
      </x:c>
      <x:c r="B34" s="14">
        <x:f>'② 견적리스트'!D35</x:f>
        <x:v>0</x:v>
      </x:c>
      <x:c r="C34" s="14">
        <x:f>'② 견적리스트'!E35</x:f>
        <x:v>0</x:v>
      </x:c>
      <x:c r="D34" s="17" t="str">
        <x:f>'② 견적리스트'!K35</x:f>
        <x:v/>
      </x:c>
      <x:c r="E34" s="14">
        <x:f>'② 견적리스트'!L35</x:f>
        <x:v>0</x:v>
      </x:c>
      <x:c r="F34" s="18">
        <x:f>'② 견적리스트'!M35</x:f>
        <x:v>0</x:v>
      </x:c>
      <x:c r="G34" s="18">
        <x:f>'② 견적리스트'!N35</x:f>
        <x:v>0</x:v>
      </x:c>
      <x:c r="H34" s="17" t="str">
        <x:f>'② 견적리스트'!P35</x:f>
        <x:v/>
      </x:c>
      <x:c r="I34" s="14">
        <x:f>'② 견적리스트'!R35</x:f>
        <x:v>0</x:v>
      </x:c>
      <x:c r="J34" s="17" t="str">
        <x:f>'② 견적리스트'!T35</x:f>
        <x:v/>
      </x:c>
      <x:c r="K34" s="14">
        <x:f>'② 견적리스트'!V35</x:f>
        <x:v>0</x:v>
      </x:c>
      <x:c r="L34" s="19" t="str">
        <x:f>'② 견적리스트'!W35</x:f>
        <x:v/>
      </x:c>
    </x:row>
    <x:row r="35" spans="1:12">
      <x:c r="A35" s="14">
        <x:f>'② 견적리스트'!A36</x:f>
        <x:v>0</x:v>
      </x:c>
      <x:c r="B35" s="14">
        <x:f>'② 견적리스트'!D36</x:f>
        <x:v>0</x:v>
      </x:c>
      <x:c r="C35" s="14">
        <x:f>'② 견적리스트'!E36</x:f>
        <x:v>0</x:v>
      </x:c>
      <x:c r="D35" s="17" t="str">
        <x:f>'② 견적리스트'!K36</x:f>
        <x:v/>
      </x:c>
      <x:c r="E35" s="14">
        <x:f>'② 견적리스트'!L36</x:f>
        <x:v>0</x:v>
      </x:c>
      <x:c r="F35" s="18">
        <x:f>'② 견적리스트'!M36</x:f>
        <x:v>0</x:v>
      </x:c>
      <x:c r="G35" s="18">
        <x:f>'② 견적리스트'!N36</x:f>
        <x:v>0</x:v>
      </x:c>
      <x:c r="H35" s="17" t="str">
        <x:f>'② 견적리스트'!P36</x:f>
        <x:v/>
      </x:c>
      <x:c r="I35" s="14">
        <x:f>'② 견적리스트'!R36</x:f>
        <x:v>0</x:v>
      </x:c>
      <x:c r="J35" s="17" t="str">
        <x:f>'② 견적리스트'!T36</x:f>
        <x:v/>
      </x:c>
      <x:c r="K35" s="14">
        <x:f>'② 견적리스트'!V36</x:f>
        <x:v>0</x:v>
      </x:c>
      <x:c r="L35" s="19" t="str">
        <x:f>'② 견적리스트'!W36</x:f>
        <x:v/>
      </x:c>
    </x:row>
    <x:row r="36" spans="1:12">
      <x:c r="A36" s="14">
        <x:f>'② 견적리스트'!A37</x:f>
        <x:v>0</x:v>
      </x:c>
      <x:c r="B36" s="14">
        <x:f>'② 견적리스트'!D37</x:f>
        <x:v>0</x:v>
      </x:c>
      <x:c r="C36" s="14">
        <x:f>'② 견적리스트'!E37</x:f>
        <x:v>0</x:v>
      </x:c>
      <x:c r="D36" s="17" t="str">
        <x:f>'② 견적리스트'!K37</x:f>
        <x:v/>
      </x:c>
      <x:c r="E36" s="14">
        <x:f>'② 견적리스트'!L37</x:f>
        <x:v>0</x:v>
      </x:c>
      <x:c r="F36" s="18">
        <x:f>'② 견적리스트'!M37</x:f>
        <x:v>0</x:v>
      </x:c>
      <x:c r="G36" s="18">
        <x:f>'② 견적리스트'!N37</x:f>
        <x:v>0</x:v>
      </x:c>
      <x:c r="H36" s="17" t="str">
        <x:f>'② 견적리스트'!P37</x:f>
        <x:v/>
      </x:c>
      <x:c r="I36" s="14">
        <x:f>'② 견적리스트'!R37</x:f>
        <x:v>0</x:v>
      </x:c>
      <x:c r="J36" s="17" t="str">
        <x:f>'② 견적리스트'!T37</x:f>
        <x:v/>
      </x:c>
      <x:c r="K36" s="14">
        <x:f>'② 견적리스트'!V37</x:f>
        <x:v>0</x:v>
      </x:c>
      <x:c r="L36" s="19" t="str">
        <x:f>'② 견적리스트'!W37</x:f>
        <x:v/>
      </x:c>
    </x:row>
    <x:row r="37" spans="1:12">
      <x:c r="A37" s="14">
        <x:f>'② 견적리스트'!A38</x:f>
        <x:v>0</x:v>
      </x:c>
      <x:c r="B37" s="14">
        <x:f>'② 견적리스트'!D38</x:f>
        <x:v>0</x:v>
      </x:c>
      <x:c r="C37" s="14">
        <x:f>'② 견적리스트'!E38</x:f>
        <x:v>0</x:v>
      </x:c>
      <x:c r="D37" s="17" t="str">
        <x:f>'② 견적리스트'!K38</x:f>
        <x:v/>
      </x:c>
      <x:c r="E37" s="14">
        <x:f>'② 견적리스트'!L38</x:f>
        <x:v>0</x:v>
      </x:c>
      <x:c r="F37" s="18">
        <x:f>'② 견적리스트'!M38</x:f>
        <x:v>0</x:v>
      </x:c>
      <x:c r="G37" s="18">
        <x:f>'② 견적리스트'!N38</x:f>
        <x:v>0</x:v>
      </x:c>
      <x:c r="H37" s="17" t="str">
        <x:f>'② 견적리스트'!P38</x:f>
        <x:v/>
      </x:c>
      <x:c r="I37" s="14">
        <x:f>'② 견적리스트'!R38</x:f>
        <x:v>0</x:v>
      </x:c>
      <x:c r="J37" s="17" t="str">
        <x:f>'② 견적리스트'!T38</x:f>
        <x:v/>
      </x:c>
      <x:c r="K37" s="14">
        <x:f>'② 견적리스트'!V38</x:f>
        <x:v>0</x:v>
      </x:c>
      <x:c r="L37" s="19" t="str">
        <x:f>'② 견적리스트'!W38</x:f>
        <x:v/>
      </x:c>
    </x:row>
    <x:row r="38" spans="1:12">
      <x:c r="A38" s="14">
        <x:f>'② 견적리스트'!A39</x:f>
        <x:v>0</x:v>
      </x:c>
      <x:c r="B38" s="14">
        <x:f>'② 견적리스트'!D39</x:f>
        <x:v>0</x:v>
      </x:c>
      <x:c r="C38" s="14">
        <x:f>'② 견적리스트'!E39</x:f>
        <x:v>0</x:v>
      </x:c>
      <x:c r="D38" s="17" t="str">
        <x:f>'② 견적리스트'!K39</x:f>
        <x:v/>
      </x:c>
      <x:c r="E38" s="14">
        <x:f>'② 견적리스트'!L39</x:f>
        <x:v>0</x:v>
      </x:c>
      <x:c r="F38" s="18">
        <x:f>'② 견적리스트'!M39</x:f>
        <x:v>0</x:v>
      </x:c>
      <x:c r="G38" s="18">
        <x:f>'② 견적리스트'!N39</x:f>
        <x:v>0</x:v>
      </x:c>
      <x:c r="H38" s="17" t="str">
        <x:f>'② 견적리스트'!P39</x:f>
        <x:v/>
      </x:c>
      <x:c r="I38" s="14">
        <x:f>'② 견적리스트'!R39</x:f>
        <x:v>0</x:v>
      </x:c>
      <x:c r="J38" s="17" t="str">
        <x:f>'② 견적리스트'!T39</x:f>
        <x:v/>
      </x:c>
      <x:c r="K38" s="14">
        <x:f>'② 견적리스트'!V39</x:f>
        <x:v>0</x:v>
      </x:c>
      <x:c r="L38" s="19" t="str">
        <x:f>'② 견적리스트'!W39</x:f>
        <x:v/>
      </x:c>
    </x:row>
    <x:row r="39" spans="1:12">
      <x:c r="A39" s="14">
        <x:f>'② 견적리스트'!A40</x:f>
        <x:v>0</x:v>
      </x:c>
      <x:c r="B39" s="14">
        <x:f>'② 견적리스트'!D40</x:f>
        <x:v>0</x:v>
      </x:c>
      <x:c r="C39" s="14">
        <x:f>'② 견적리스트'!E40</x:f>
        <x:v>0</x:v>
      </x:c>
      <x:c r="D39" s="17" t="str">
        <x:f>'② 견적리스트'!K40</x:f>
        <x:v/>
      </x:c>
      <x:c r="E39" s="14">
        <x:f>'② 견적리스트'!L40</x:f>
        <x:v>0</x:v>
      </x:c>
      <x:c r="F39" s="18">
        <x:f>'② 견적리스트'!M40</x:f>
        <x:v>0</x:v>
      </x:c>
      <x:c r="G39" s="18">
        <x:f>'② 견적리스트'!N40</x:f>
        <x:v>0</x:v>
      </x:c>
      <x:c r="H39" s="17" t="str">
        <x:f>'② 견적리스트'!P40</x:f>
        <x:v/>
      </x:c>
      <x:c r="I39" s="14">
        <x:f>'② 견적리스트'!R40</x:f>
        <x:v>0</x:v>
      </x:c>
      <x:c r="J39" s="17" t="str">
        <x:f>'② 견적리스트'!T40</x:f>
        <x:v/>
      </x:c>
      <x:c r="K39" s="14">
        <x:f>'② 견적리스트'!V40</x:f>
        <x:v>0</x:v>
      </x:c>
      <x:c r="L39" s="19" t="str">
        <x:f>'② 견적리스트'!W40</x:f>
        <x:v/>
      </x:c>
    </x:row>
    <x:row r="40" spans="1:12">
      <x:c r="A40" s="14">
        <x:f>'② 견적리스트'!A41</x:f>
        <x:v>0</x:v>
      </x:c>
      <x:c r="B40" s="14">
        <x:f>'② 견적리스트'!D41</x:f>
        <x:v>0</x:v>
      </x:c>
      <x:c r="C40" s="14">
        <x:f>'② 견적리스트'!E41</x:f>
        <x:v>0</x:v>
      </x:c>
      <x:c r="D40" s="17" t="str">
        <x:f>'② 견적리스트'!K41</x:f>
        <x:v/>
      </x:c>
      <x:c r="E40" s="14">
        <x:f>'② 견적리스트'!L41</x:f>
        <x:v>0</x:v>
      </x:c>
      <x:c r="F40" s="18">
        <x:f>'② 견적리스트'!M41</x:f>
        <x:v>0</x:v>
      </x:c>
      <x:c r="G40" s="18">
        <x:f>'② 견적리스트'!N41</x:f>
        <x:v>0</x:v>
      </x:c>
      <x:c r="H40" s="17" t="str">
        <x:f>'② 견적리스트'!P41</x:f>
        <x:v/>
      </x:c>
      <x:c r="I40" s="14">
        <x:f>'② 견적리스트'!R41</x:f>
        <x:v>0</x:v>
      </x:c>
      <x:c r="J40" s="17" t="str">
        <x:f>'② 견적리스트'!T41</x:f>
        <x:v/>
      </x:c>
      <x:c r="K40" s="14">
        <x:f>'② 견적리스트'!V41</x:f>
        <x:v>0</x:v>
      </x:c>
      <x:c r="L40" s="19" t="str">
        <x:f>'② 견적리스트'!W41</x:f>
        <x:v/>
      </x:c>
    </x:row>
    <x:row r="41" spans="1:12">
      <x:c r="A41" s="14">
        <x:f>'② 견적리스트'!A42</x:f>
        <x:v>0</x:v>
      </x:c>
      <x:c r="B41" s="14">
        <x:f>'② 견적리스트'!D42</x:f>
        <x:v>0</x:v>
      </x:c>
      <x:c r="C41" s="14">
        <x:f>'② 견적리스트'!E42</x:f>
        <x:v>0</x:v>
      </x:c>
      <x:c r="D41" s="17" t="str">
        <x:f>'② 견적리스트'!K42</x:f>
        <x:v/>
      </x:c>
      <x:c r="E41" s="14">
        <x:f>'② 견적리스트'!L42</x:f>
        <x:v>0</x:v>
      </x:c>
      <x:c r="F41" s="18">
        <x:f>'② 견적리스트'!M42</x:f>
        <x:v>0</x:v>
      </x:c>
      <x:c r="G41" s="18">
        <x:f>'② 견적리스트'!N42</x:f>
        <x:v>0</x:v>
      </x:c>
      <x:c r="H41" s="17" t="str">
        <x:f>'② 견적리스트'!P42</x:f>
        <x:v/>
      </x:c>
      <x:c r="I41" s="14">
        <x:f>'② 견적리스트'!R42</x:f>
        <x:v>0</x:v>
      </x:c>
      <x:c r="J41" s="17" t="str">
        <x:f>'② 견적리스트'!T42</x:f>
        <x:v/>
      </x:c>
      <x:c r="K41" s="14">
        <x:f>'② 견적리스트'!V42</x:f>
        <x:v>0</x:v>
      </x:c>
      <x:c r="L41" s="19" t="str">
        <x:f>'② 견적리스트'!W42</x:f>
        <x:v/>
      </x:c>
    </x:row>
    <x:row r="42" spans="1:12">
      <x:c r="A42" s="14">
        <x:f>'② 견적리스트'!A43</x:f>
        <x:v>0</x:v>
      </x:c>
      <x:c r="B42" s="14">
        <x:f>'② 견적리스트'!D43</x:f>
        <x:v>0</x:v>
      </x:c>
      <x:c r="C42" s="14">
        <x:f>'② 견적리스트'!E43</x:f>
        <x:v>0</x:v>
      </x:c>
      <x:c r="D42" s="17" t="str">
        <x:f>'② 견적리스트'!K43</x:f>
        <x:v/>
      </x:c>
      <x:c r="E42" s="14">
        <x:f>'② 견적리스트'!L43</x:f>
        <x:v>0</x:v>
      </x:c>
      <x:c r="F42" s="18">
        <x:f>'② 견적리스트'!M43</x:f>
        <x:v>0</x:v>
      </x:c>
      <x:c r="G42" s="18">
        <x:f>'② 견적리스트'!N43</x:f>
        <x:v>0</x:v>
      </x:c>
      <x:c r="H42" s="17" t="str">
        <x:f>'② 견적리스트'!P43</x:f>
        <x:v/>
      </x:c>
      <x:c r="I42" s="14">
        <x:f>'② 견적리스트'!R43</x:f>
        <x:v>0</x:v>
      </x:c>
      <x:c r="J42" s="17" t="str">
        <x:f>'② 견적리스트'!T43</x:f>
        <x:v/>
      </x:c>
      <x:c r="K42" s="14">
        <x:f>'② 견적리스트'!V43</x:f>
        <x:v>0</x:v>
      </x:c>
      <x:c r="L42" s="19" t="str">
        <x:f>'② 견적리스트'!W43</x:f>
        <x:v/>
      </x:c>
    </x:row>
    <x:row r="43" spans="1:12">
      <x:c r="A43" s="14">
        <x:f>'② 견적리스트'!A44</x:f>
        <x:v>0</x:v>
      </x:c>
      <x:c r="B43" s="14">
        <x:f>'② 견적리스트'!D44</x:f>
        <x:v>0</x:v>
      </x:c>
      <x:c r="C43" s="14">
        <x:f>'② 견적리스트'!E44</x:f>
        <x:v>0</x:v>
      </x:c>
      <x:c r="D43" s="17" t="str">
        <x:f>'② 견적리스트'!K44</x:f>
        <x:v/>
      </x:c>
      <x:c r="E43" s="14">
        <x:f>'② 견적리스트'!L44</x:f>
        <x:v>0</x:v>
      </x:c>
      <x:c r="F43" s="18">
        <x:f>'② 견적리스트'!M44</x:f>
        <x:v>0</x:v>
      </x:c>
      <x:c r="G43" s="18">
        <x:f>'② 견적리스트'!N44</x:f>
        <x:v>0</x:v>
      </x:c>
      <x:c r="H43" s="17" t="str">
        <x:f>'② 견적리스트'!P44</x:f>
        <x:v/>
      </x:c>
      <x:c r="I43" s="14">
        <x:f>'② 견적리스트'!R44</x:f>
        <x:v>0</x:v>
      </x:c>
      <x:c r="J43" s="17" t="str">
        <x:f>'② 견적리스트'!T44</x:f>
        <x:v/>
      </x:c>
      <x:c r="K43" s="14">
        <x:f>'② 견적리스트'!V44</x:f>
        <x:v>0</x:v>
      </x:c>
      <x:c r="L43" s="19" t="str">
        <x:f>'② 견적리스트'!W44</x:f>
        <x:v/>
      </x:c>
    </x:row>
    <x:row r="44" spans="1:12">
      <x:c r="A44" s="14">
        <x:f>'② 견적리스트'!A45</x:f>
        <x:v>0</x:v>
      </x:c>
      <x:c r="B44" s="14">
        <x:f>'② 견적리스트'!D45</x:f>
        <x:v>0</x:v>
      </x:c>
      <x:c r="C44" s="14">
        <x:f>'② 견적리스트'!E45</x:f>
        <x:v>0</x:v>
      </x:c>
      <x:c r="D44" s="17" t="str">
        <x:f>'② 견적리스트'!K45</x:f>
        <x:v/>
      </x:c>
      <x:c r="E44" s="14">
        <x:f>'② 견적리스트'!L45</x:f>
        <x:v>0</x:v>
      </x:c>
      <x:c r="F44" s="18">
        <x:f>'② 견적리스트'!M45</x:f>
        <x:v>0</x:v>
      </x:c>
      <x:c r="G44" s="18">
        <x:f>'② 견적리스트'!N45</x:f>
        <x:v>0</x:v>
      </x:c>
      <x:c r="H44" s="17" t="str">
        <x:f>'② 견적리스트'!P45</x:f>
        <x:v/>
      </x:c>
      <x:c r="I44" s="14">
        <x:f>'② 견적리스트'!R45</x:f>
        <x:v>0</x:v>
      </x:c>
      <x:c r="J44" s="17" t="str">
        <x:f>'② 견적리스트'!T45</x:f>
        <x:v/>
      </x:c>
      <x:c r="K44" s="14">
        <x:f>'② 견적리스트'!V45</x:f>
        <x:v>0</x:v>
      </x:c>
      <x:c r="L44" s="19" t="str">
        <x:f>'② 견적리스트'!W45</x:f>
        <x:v/>
      </x:c>
    </x:row>
    <x:row r="45" spans="1:12">
      <x:c r="A45" s="14">
        <x:f>'② 견적리스트'!A46</x:f>
        <x:v>0</x:v>
      </x:c>
      <x:c r="B45" s="14">
        <x:f>'② 견적리스트'!D46</x:f>
        <x:v>0</x:v>
      </x:c>
      <x:c r="C45" s="14">
        <x:f>'② 견적리스트'!E46</x:f>
        <x:v>0</x:v>
      </x:c>
      <x:c r="D45" s="17" t="str">
        <x:f>'② 견적리스트'!K46</x:f>
        <x:v/>
      </x:c>
      <x:c r="E45" s="14">
        <x:f>'② 견적리스트'!L46</x:f>
        <x:v>0</x:v>
      </x:c>
      <x:c r="F45" s="18">
        <x:f>'② 견적리스트'!M46</x:f>
        <x:v>0</x:v>
      </x:c>
      <x:c r="G45" s="18">
        <x:f>'② 견적리스트'!N46</x:f>
        <x:v>0</x:v>
      </x:c>
      <x:c r="H45" s="17" t="str">
        <x:f>'② 견적리스트'!P46</x:f>
        <x:v/>
      </x:c>
      <x:c r="I45" s="14">
        <x:f>'② 견적리스트'!R46</x:f>
        <x:v>0</x:v>
      </x:c>
      <x:c r="J45" s="17" t="str">
        <x:f>'② 견적리스트'!T46</x:f>
        <x:v/>
      </x:c>
      <x:c r="K45" s="14">
        <x:f>'② 견적리스트'!V46</x:f>
        <x:v>0</x:v>
      </x:c>
      <x:c r="L45" s="19" t="str">
        <x:f>'② 견적리스트'!W46</x:f>
        <x:v/>
      </x:c>
    </x:row>
    <x:row r="46" spans="1:12">
      <x:c r="A46" s="14">
        <x:f>'② 견적리스트'!A47</x:f>
        <x:v>0</x:v>
      </x:c>
      <x:c r="B46" s="14">
        <x:f>'② 견적리스트'!D47</x:f>
        <x:v>0</x:v>
      </x:c>
      <x:c r="C46" s="14">
        <x:f>'② 견적리스트'!E47</x:f>
        <x:v>0</x:v>
      </x:c>
      <x:c r="D46" s="17" t="str">
        <x:f>'② 견적리스트'!K47</x:f>
        <x:v/>
      </x:c>
      <x:c r="E46" s="14">
        <x:f>'② 견적리스트'!L47</x:f>
        <x:v>0</x:v>
      </x:c>
      <x:c r="F46" s="18">
        <x:f>'② 견적리스트'!M47</x:f>
        <x:v>0</x:v>
      </x:c>
      <x:c r="G46" s="18">
        <x:f>'② 견적리스트'!N47</x:f>
        <x:v>0</x:v>
      </x:c>
      <x:c r="H46" s="17" t="str">
        <x:f>'② 견적리스트'!P47</x:f>
        <x:v/>
      </x:c>
      <x:c r="I46" s="14">
        <x:f>'② 견적리스트'!R47</x:f>
        <x:v>0</x:v>
      </x:c>
      <x:c r="J46" s="17" t="str">
        <x:f>'② 견적리스트'!T47</x:f>
        <x:v/>
      </x:c>
      <x:c r="K46" s="14">
        <x:f>'② 견적리스트'!V47</x:f>
        <x:v>0</x:v>
      </x:c>
      <x:c r="L46" s="19" t="str">
        <x:f>'② 견적리스트'!W47</x:f>
        <x:v/>
      </x:c>
    </x:row>
    <x:row r="47" spans="1:12">
      <x:c r="A47" s="14">
        <x:f>'② 견적리스트'!A48</x:f>
        <x:v>0</x:v>
      </x:c>
      <x:c r="B47" s="14">
        <x:f>'② 견적리스트'!D48</x:f>
        <x:v>0</x:v>
      </x:c>
      <x:c r="C47" s="14">
        <x:f>'② 견적리스트'!E48</x:f>
        <x:v>0</x:v>
      </x:c>
      <x:c r="D47" s="17" t="str">
        <x:f>'② 견적리스트'!K48</x:f>
        <x:v/>
      </x:c>
      <x:c r="E47" s="14">
        <x:f>'② 견적리스트'!L48</x:f>
        <x:v>0</x:v>
      </x:c>
      <x:c r="F47" s="18">
        <x:f>'② 견적리스트'!M48</x:f>
        <x:v>0</x:v>
      </x:c>
      <x:c r="G47" s="18">
        <x:f>'② 견적리스트'!N48</x:f>
        <x:v>0</x:v>
      </x:c>
      <x:c r="H47" s="17" t="str">
        <x:f>'② 견적리스트'!P48</x:f>
        <x:v/>
      </x:c>
      <x:c r="I47" s="14">
        <x:f>'② 견적리스트'!R48</x:f>
        <x:v>0</x:v>
      </x:c>
      <x:c r="J47" s="17" t="str">
        <x:f>'② 견적리스트'!T48</x:f>
        <x:v/>
      </x:c>
      <x:c r="K47" s="14">
        <x:f>'② 견적리스트'!V48</x:f>
        <x:v>0</x:v>
      </x:c>
      <x:c r="L47" s="19" t="str">
        <x:f>'② 견적리스트'!W48</x:f>
        <x:v/>
      </x:c>
    </x:row>
    <x:row r="48" spans="1:12">
      <x:c r="A48" s="14">
        <x:f>'② 견적리스트'!A49</x:f>
        <x:v>0</x:v>
      </x:c>
      <x:c r="B48" s="14">
        <x:f>'② 견적리스트'!D49</x:f>
        <x:v>0</x:v>
      </x:c>
      <x:c r="C48" s="14">
        <x:f>'② 견적리스트'!E49</x:f>
        <x:v>0</x:v>
      </x:c>
      <x:c r="D48" s="17" t="str">
        <x:f>'② 견적리스트'!K49</x:f>
        <x:v/>
      </x:c>
      <x:c r="E48" s="14">
        <x:f>'② 견적리스트'!L49</x:f>
        <x:v>0</x:v>
      </x:c>
      <x:c r="F48" s="18">
        <x:f>'② 견적리스트'!M49</x:f>
        <x:v>0</x:v>
      </x:c>
      <x:c r="G48" s="18">
        <x:f>'② 견적리스트'!N49</x:f>
        <x:v>0</x:v>
      </x:c>
      <x:c r="H48" s="17" t="str">
        <x:f>'② 견적리스트'!P49</x:f>
        <x:v/>
      </x:c>
      <x:c r="I48" s="14">
        <x:f>'② 견적리스트'!R49</x:f>
        <x:v>0</x:v>
      </x:c>
      <x:c r="J48" s="17" t="str">
        <x:f>'② 견적리스트'!T49</x:f>
        <x:v/>
      </x:c>
      <x:c r="K48" s="14">
        <x:f>'② 견적리스트'!V49</x:f>
        <x:v>0</x:v>
      </x:c>
      <x:c r="L48" s="19" t="str">
        <x:f>'② 견적리스트'!W49</x:f>
        <x:v/>
      </x:c>
    </x:row>
    <x:row r="49" spans="1:12">
      <x:c r="A49" s="14">
        <x:f>'② 견적리스트'!A50</x:f>
        <x:v>0</x:v>
      </x:c>
      <x:c r="B49" s="14">
        <x:f>'② 견적리스트'!D50</x:f>
        <x:v>0</x:v>
      </x:c>
      <x:c r="C49" s="14">
        <x:f>'② 견적리스트'!E50</x:f>
        <x:v>0</x:v>
      </x:c>
      <x:c r="D49" s="17" t="str">
        <x:f>'② 견적리스트'!K50</x:f>
        <x:v/>
      </x:c>
      <x:c r="E49" s="14">
        <x:f>'② 견적리스트'!L50</x:f>
        <x:v>0</x:v>
      </x:c>
      <x:c r="F49" s="18">
        <x:f>'② 견적리스트'!M50</x:f>
        <x:v>0</x:v>
      </x:c>
      <x:c r="G49" s="18">
        <x:f>'② 견적리스트'!N50</x:f>
        <x:v>0</x:v>
      </x:c>
      <x:c r="H49" s="17" t="str">
        <x:f>'② 견적리스트'!P50</x:f>
        <x:v/>
      </x:c>
      <x:c r="I49" s="14">
        <x:f>'② 견적리스트'!R50</x:f>
        <x:v>0</x:v>
      </x:c>
      <x:c r="J49" s="17" t="str">
        <x:f>'② 견적리스트'!T50</x:f>
        <x:v/>
      </x:c>
      <x:c r="K49" s="14">
        <x:f>'② 견적리스트'!V50</x:f>
        <x:v>0</x:v>
      </x:c>
      <x:c r="L49" s="19" t="str">
        <x:f>'② 견적리스트'!W50</x:f>
        <x:v/>
      </x:c>
    </x:row>
    <x:row r="50" spans="1:12">
      <x:c r="A50" s="14">
        <x:f>'② 견적리스트'!A51</x:f>
        <x:v>0</x:v>
      </x:c>
      <x:c r="B50" s="14">
        <x:f>'② 견적리스트'!D51</x:f>
        <x:v>0</x:v>
      </x:c>
      <x:c r="C50" s="14">
        <x:f>'② 견적리스트'!E51</x:f>
        <x:v>0</x:v>
      </x:c>
      <x:c r="D50" s="17" t="str">
        <x:f>'② 견적리스트'!K51</x:f>
        <x:v/>
      </x:c>
      <x:c r="E50" s="14">
        <x:f>'② 견적리스트'!L51</x:f>
        <x:v>0</x:v>
      </x:c>
      <x:c r="F50" s="18">
        <x:f>'② 견적리스트'!M51</x:f>
        <x:v>0</x:v>
      </x:c>
      <x:c r="G50" s="18">
        <x:f>'② 견적리스트'!N51</x:f>
        <x:v>0</x:v>
      </x:c>
      <x:c r="H50" s="17" t="str">
        <x:f>'② 견적리스트'!P51</x:f>
        <x:v/>
      </x:c>
      <x:c r="I50" s="14">
        <x:f>'② 견적리스트'!R51</x:f>
        <x:v>0</x:v>
      </x:c>
      <x:c r="J50" s="17" t="str">
        <x:f>'② 견적리스트'!T51</x:f>
        <x:v/>
      </x:c>
      <x:c r="K50" s="14">
        <x:f>'② 견적리스트'!V51</x:f>
        <x:v>0</x:v>
      </x:c>
      <x:c r="L50" s="19" t="str">
        <x:f>'② 견적리스트'!W51</x:f>
        <x:v/>
      </x:c>
    </x:row>
    <x:row r="51" spans="1:12">
      <x:c r="A51" s="14">
        <x:f>'② 견적리스트'!A52</x:f>
        <x:v>0</x:v>
      </x:c>
      <x:c r="B51" s="14">
        <x:f>'② 견적리스트'!D52</x:f>
        <x:v>0</x:v>
      </x:c>
      <x:c r="C51" s="14">
        <x:f>'② 견적리스트'!E52</x:f>
        <x:v>0</x:v>
      </x:c>
      <x:c r="D51" s="17" t="str">
        <x:f>'② 견적리스트'!K52</x:f>
        <x:v/>
      </x:c>
      <x:c r="E51" s="14">
        <x:f>'② 견적리스트'!L52</x:f>
        <x:v>0</x:v>
      </x:c>
      <x:c r="F51" s="18">
        <x:f>'② 견적리스트'!M52</x:f>
        <x:v>0</x:v>
      </x:c>
      <x:c r="G51" s="18">
        <x:f>'② 견적리스트'!N52</x:f>
        <x:v>0</x:v>
      </x:c>
      <x:c r="H51" s="17" t="str">
        <x:f>'② 견적리스트'!P52</x:f>
        <x:v/>
      </x:c>
      <x:c r="I51" s="14">
        <x:f>'② 견적리스트'!R52</x:f>
        <x:v>0</x:v>
      </x:c>
      <x:c r="J51" s="17" t="str">
        <x:f>'② 견적리스트'!T52</x:f>
        <x:v/>
      </x:c>
      <x:c r="K51" s="14">
        <x:f>'② 견적리스트'!V52</x:f>
        <x:v>0</x:v>
      </x:c>
      <x:c r="L51" s="19" t="str">
        <x:f>'② 견적리스트'!W52</x:f>
        <x:v/>
      </x:c>
    </x:row>
    <x:row r="52" spans="1:12">
      <x:c r="A52" s="14">
        <x:f>'② 견적리스트'!A53</x:f>
        <x:v>0</x:v>
      </x:c>
      <x:c r="B52" s="14">
        <x:f>'② 견적리스트'!D53</x:f>
        <x:v>0</x:v>
      </x:c>
      <x:c r="C52" s="14">
        <x:f>'② 견적리스트'!E53</x:f>
        <x:v>0</x:v>
      </x:c>
      <x:c r="D52" s="17" t="str">
        <x:f>'② 견적리스트'!K53</x:f>
        <x:v/>
      </x:c>
      <x:c r="E52" s="14">
        <x:f>'② 견적리스트'!L53</x:f>
        <x:v>0</x:v>
      </x:c>
      <x:c r="F52" s="18">
        <x:f>'② 견적리스트'!M53</x:f>
        <x:v>0</x:v>
      </x:c>
      <x:c r="G52" s="18">
        <x:f>'② 견적리스트'!N53</x:f>
        <x:v>0</x:v>
      </x:c>
      <x:c r="H52" s="17" t="str">
        <x:f>'② 견적리스트'!P53</x:f>
        <x:v/>
      </x:c>
      <x:c r="I52" s="14">
        <x:f>'② 견적리스트'!R53</x:f>
        <x:v>0</x:v>
      </x:c>
      <x:c r="J52" s="17" t="str">
        <x:f>'② 견적리스트'!T53</x:f>
        <x:v/>
      </x:c>
      <x:c r="K52" s="14">
        <x:f>'② 견적리스트'!V53</x:f>
        <x:v>0</x:v>
      </x:c>
      <x:c r="L52" s="19" t="str">
        <x:f>'② 견적리스트'!W53</x:f>
        <x:v/>
      </x:c>
    </x:row>
    <x:row r="53" spans="1:12">
      <x:c r="A53" s="14">
        <x:f>'② 견적리스트'!A54</x:f>
        <x:v>0</x:v>
      </x:c>
      <x:c r="B53" s="14">
        <x:f>'② 견적리스트'!D54</x:f>
        <x:v>0</x:v>
      </x:c>
      <x:c r="C53" s="14">
        <x:f>'② 견적리스트'!E54</x:f>
        <x:v>0</x:v>
      </x:c>
      <x:c r="D53" s="17" t="str">
        <x:f>'② 견적리스트'!K54</x:f>
        <x:v/>
      </x:c>
      <x:c r="E53" s="14">
        <x:f>'② 견적리스트'!L54</x:f>
        <x:v>0</x:v>
      </x:c>
      <x:c r="F53" s="18">
        <x:f>'② 견적리스트'!M54</x:f>
        <x:v>0</x:v>
      </x:c>
      <x:c r="G53" s="18">
        <x:f>'② 견적리스트'!N54</x:f>
        <x:v>0</x:v>
      </x:c>
      <x:c r="H53" s="17" t="str">
        <x:f>'② 견적리스트'!P54</x:f>
        <x:v/>
      </x:c>
      <x:c r="I53" s="14">
        <x:f>'② 견적리스트'!R54</x:f>
        <x:v>0</x:v>
      </x:c>
      <x:c r="J53" s="17" t="str">
        <x:f>'② 견적리스트'!T54</x:f>
        <x:v/>
      </x:c>
      <x:c r="K53" s="14">
        <x:f>'② 견적리스트'!V54</x:f>
        <x:v>0</x:v>
      </x:c>
      <x:c r="L53" s="19" t="str">
        <x:f>'② 견적리스트'!W54</x:f>
        <x:v/>
      </x:c>
    </x:row>
  </x:sheetData>
  <x:autoFilter ref="A3:L53"/>
  <x:mergeCells count="1">
    <x:mergeCell ref="A1:L1"/>
  </x:mergeCells>
  <x:conditionalFormatting sqref="A4:A53">
    <x:cfRule type="expression" dxfId="25" priority="17">
      <x:formula>$A4="섬유 제조 자동화"</x:formula>
    </x:cfRule>
    <x:cfRule type="expression" dxfId="26" priority="16">
      <x:formula>$A4="스마트 생태공장"</x:formula>
    </x:cfRule>
  </x:conditionalFormatting>
  <x:conditionalFormatting sqref="E4:E53">
    <x:cfRule type="cellIs" dxfId="18" priority="8" operator="equal">
      <x:formula>"보류"</x:formula>
    </x:cfRule>
    <x:cfRule type="cellIs" dxfId="19" priority="7" operator="equal">
      <x:formula>"실주"</x:formula>
    </x:cfRule>
    <x:cfRule type="cellIs" dxfId="20" priority="6" operator="equal">
      <x:formula>"대기"</x:formula>
    </x:cfRule>
    <x:cfRule type="cellIs" dxfId="21" priority="5" operator="equal">
      <x:formula>"설치중"</x:formula>
    </x:cfRule>
    <x:cfRule type="cellIs" dxfId="22" priority="4" operator="equal">
      <x:formula>"진행중"</x:formula>
    </x:cfRule>
    <x:cfRule type="cellIs" dxfId="23" priority="3" operator="equal">
      <x:formula>"완료"</x:formula>
    </x:cfRule>
    <x:cfRule type="cellIs" dxfId="24" priority="2" operator="equal">
      <x:formula>"수주"</x:formula>
    </x:cfRule>
  </x:conditionalFormatting>
  <x:conditionalFormatting sqref="I4:I53">
    <x:cfRule type="cellIs" dxfId="15" priority="11" operator="equal">
      <x:formula>"지연"</x:formula>
    </x:cfRule>
    <x:cfRule type="cellIs" dxfId="16" priority="10" operator="equal">
      <x:formula>"청구"</x:formula>
    </x:cfRule>
    <x:cfRule type="cellIs" dxfId="17" priority="9" operator="equal">
      <x:formula>"수금"</x:formula>
    </x:cfRule>
  </x:conditionalFormatting>
  <x:conditionalFormatting sqref="K4:K53">
    <x:cfRule type="cellIs" dxfId="12" priority="14" operator="equal">
      <x:formula>"지연"</x:formula>
    </x:cfRule>
    <x:cfRule type="cellIs" dxfId="13" priority="13" operator="equal">
      <x:formula>"청구"</x:formula>
    </x:cfRule>
    <x:cfRule type="cellIs" dxfId="14" priority="12" operator="equal">
      <x:formula>"수금"</x:formula>
    </x:cfRule>
  </x:conditionalFormatting>
  <x:conditionalFormatting sqref="L4:L53">
    <x:cfRule type="dataBar" priority="15">
      <x:dataBar>
        <x:cfvo type="num" val="0"/>
        <x:cfvo type="num" val="1"/>
        <x:color rgb="ff5b9bd5"/>
      </x:dataBar>
      <x:extLst>
        <x:ext xmlns:x14="http://schemas.microsoft.com/office/spreadsheetml/2009/9/main" uri="{B025F937-C7B1-47D3-B67F-A62EFF666E3E}">
          <x14:id>{F75F141C-D2B5-41D4-A08F-699F5400B0A9}</x14:id>
        </x:ext>
      </x:extLst>
    </x:cfRule>
  </x:conditionalFormatting>
  <x:pageMargins left="0.75" right="0.75" top="1" bottom="1" header="0.51166665554046630859" footer="0.51166665554046630859"/>
  <x:pageSetup paperSize="9" scale="100" firstPageNumber="1" fitToWidth="1" fitToHeight="1" orientation="portrait" usePrinterDefaults="1" blackAndWhite="0" draft="0" useFirstPageNumber="0" horizontalDpi="300" verticalDpi="300" copies="1"/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5F141C-D2B5-41D4-A08F-699F5400B0A9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5b9bd5"/>
            </x14:dataBar>
          </x14:cfRule>
          <xm:sqref>L4:L53</xm:sqref>
        </x14:conditionalFormatting>
      </x14:conditionalFormattings>
    </x:ext>
  </x:extLst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H12"/>
  <x:sheetViews>
    <x:sheetView topLeftCell="A1" zoomScaleNormal="100" zoomScaleSheetLayoutView="100" workbookViewId="0">
      <x:pane xSplit="0" ySplit="3" topLeftCell="A4" activePane="bottomLeft" state="frozen"/>
      <x:selection pane="bottomLeft" activeCell="F4" activeCellId="0" sqref="F4:F4"/>
    </x:sheetView>
  </x:sheetViews>
  <x:sheetFormatPr defaultColWidth="8.6328125" defaultRowHeight="16.39999999999999857891"/>
  <x:cols>
    <x:col min="1" max="1" width="16" style="20" customWidth="1"/>
    <x:col min="2" max="2" width="18" style="20" customWidth="1"/>
    <x:col min="3" max="3" width="22" style="20" customWidth="1"/>
    <x:col min="4" max="4" width="11" style="20" customWidth="1"/>
    <x:col min="5" max="5" width="14" style="20" customWidth="1"/>
    <x:col min="6" max="6" width="42" style="20" customWidth="1"/>
    <x:col min="7" max="7" width="28" style="20" customWidth="1"/>
    <x:col min="8" max="8" width="32" style="20" customWidth="1"/>
    <x:col min="9" max="16384" width="8.6328125" style="20"/>
  </x:cols>
  <x:sheetData>
    <x:row r="1" spans="1:8" ht="27.75" customHeight="1">
      <x:c r="A1" s="29" t="s">
        <x:v>53</x:v>
      </x:c>
      <x:c r="B1" s="29"/>
      <x:c r="C1" s="29"/>
      <x:c r="D1" s="29"/>
      <x:c r="E1" s="29"/>
      <x:c r="F1" s="29"/>
      <x:c r="G1" s="29"/>
      <x:c r="H1" s="29"/>
    </x:row>
    <x:row r="3" spans="1:8" ht="31.5" customHeight="1">
      <x:c r="A3" s="13" t="s">
        <x:v>190</x:v>
      </x:c>
      <x:c r="B3" s="13" t="s">
        <x:v>194</x:v>
      </x:c>
      <x:c r="C3" s="13" t="s">
        <x:v>187</x:v>
      </x:c>
      <x:c r="D3" s="13" t="s">
        <x:v>6</x:v>
      </x:c>
      <x:c r="E3" s="13" t="s">
        <x:v>246</x:v>
      </x:c>
      <x:c r="F3" s="13" t="s">
        <x:v>74</x:v>
      </x:c>
      <x:c r="G3" s="13" t="s">
        <x:v>70</x:v>
      </x:c>
      <x:c r="H3" s="13" t="s">
        <x:v>15</x:v>
      </x:c>
    </x:row>
    <x:row r="4" spans="1:8" ht="60" customHeight="1">
      <x:c r="A4" s="23" t="s">
        <x:v>24</x:v>
      </x:c>
      <x:c r="B4" s="14" t="s">
        <x:v>249</x:v>
      </x:c>
      <x:c r="C4" s="14" t="s">
        <x:v>89</x:v>
      </x:c>
      <x:c r="D4" s="14" t="s">
        <x:v>252</x:v>
      </x:c>
      <x:c r="E4" s="4">
        <x:v>70000000</x:v>
      </x:c>
      <x:c r="F4" s="12" t="s">
        <x:v>38</x:v>
      </x:c>
      <x:c r="G4" s="12" t="s">
        <x:v>54</x:v>
      </x:c>
      <x:c r="H4" s="12" t="s">
        <x:v>47</x:v>
      </x:c>
    </x:row>
    <x:row r="5" spans="1:8" ht="60" customHeight="1">
      <x:c r="A5" s="23" t="s">
        <x:v>24</x:v>
      </x:c>
      <x:c r="B5" s="14" t="s">
        <x:v>242</x:v>
      </x:c>
      <x:c r="C5" s="14" t="s">
        <x:v>89</x:v>
      </x:c>
      <x:c r="D5" s="14" t="s">
        <x:v>252</x:v>
      </x:c>
      <x:c r="E5" s="4">
        <x:v>70000000</x:v>
      </x:c>
      <x:c r="F5" s="12" t="s">
        <x:v>38</x:v>
      </x:c>
      <x:c r="G5" s="12" t="s">
        <x:v>54</x:v>
      </x:c>
      <x:c r="H5" s="12" t="s">
        <x:v>114</x:v>
      </x:c>
    </x:row>
    <x:row r="6" spans="1:8" ht="60" customHeight="1">
      <x:c r="A6" s="22" t="s">
        <x:v>29</x:v>
      </x:c>
      <x:c r="B6" s="14" t="s">
        <x:v>82</x:v>
      </x:c>
      <x:c r="C6" s="14" t="s">
        <x:v>68</x:v>
      </x:c>
      <x:c r="D6" s="14" t="s">
        <x:v>252</x:v>
      </x:c>
      <x:c r="E6" s="4">
        <x:v>519000000</x:v>
      </x:c>
      <x:c r="F6" s="12" t="s">
        <x:v>50</x:v>
      </x:c>
      <x:c r="G6" s="12" t="s">
        <x:v>20</x:v>
      </x:c>
      <x:c r="H6" s="12" t="s">
        <x:v>39</x:v>
      </x:c>
    </x:row>
    <x:row r="7" spans="1:8" ht="60" customHeight="1">
      <x:c r="A7" s="22" t="s">
        <x:v>29</x:v>
      </x:c>
      <x:c r="B7" s="14" t="s">
        <x:v>82</x:v>
      </x:c>
      <x:c r="C7" s="14" t="s">
        <x:v>230</x:v>
      </x:c>
      <x:c r="D7" s="14" t="s">
        <x:v>200</x:v>
      </x:c>
      <x:c r="E7" s="4">
        <x:v>88000000</x:v>
      </x:c>
      <x:c r="F7" s="12" t="s">
        <x:v>109</x:v>
      </x:c>
      <x:c r="G7" s="12" t="s">
        <x:v>256</x:v>
      </x:c>
      <x:c r="H7" s="12" t="s">
        <x:v>32</x:v>
      </x:c>
    </x:row>
    <x:row r="8" spans="1:8" ht="60" customHeight="1">
      <x:c r="A8" s="22" t="s">
        <x:v>29</x:v>
      </x:c>
      <x:c r="B8" s="14" t="s">
        <x:v>195</x:v>
      </x:c>
      <x:c r="C8" s="14" t="s">
        <x:v>27</x:v>
      </x:c>
      <x:c r="D8" s="14" t="s">
        <x:v>252</x:v>
      </x:c>
      <x:c r="E8" s="4">
        <x:v>62000000</x:v>
      </x:c>
      <x:c r="F8" s="12" t="s">
        <x:v>108</x:v>
      </x:c>
      <x:c r="G8" s="12" t="s">
        <x:v>257</x:v>
      </x:c>
      <x:c r="H8" s="12" t="s">
        <x:v>111</x:v>
      </x:c>
    </x:row>
    <x:row r="9" spans="1:8" ht="60" customHeight="1">
      <x:c r="A9" s="22" t="s">
        <x:v>29</x:v>
      </x:c>
      <x:c r="B9" s="14" t="s">
        <x:v>215</x:v>
      </x:c>
      <x:c r="C9" s="14" t="s">
        <x:v>27</x:v>
      </x:c>
      <x:c r="D9" s="14" t="s">
        <x:v>252</x:v>
      </x:c>
      <x:c r="E9" s="4">
        <x:v>53000000</x:v>
      </x:c>
      <x:c r="F9" s="12" t="s">
        <x:v>46</x:v>
      </x:c>
      <x:c r="G9" s="12" t="s">
        <x:v>166</x:v>
      </x:c>
      <x:c r="H9" s="12" t="s">
        <x:v>111</x:v>
      </x:c>
    </x:row>
    <x:row r="10" spans="1:8" ht="60" customHeight="1">
      <x:c r="A10" s="22" t="s">
        <x:v>29</x:v>
      </x:c>
      <x:c r="B10" s="14" t="s">
        <x:v>193</x:v>
      </x:c>
      <x:c r="C10" s="14" t="s">
        <x:v>27</x:v>
      </x:c>
      <x:c r="D10" s="14" t="s">
        <x:v>252</x:v>
      </x:c>
      <x:c r="E10" s="4">
        <x:v>52000000</x:v>
      </x:c>
      <x:c r="F10" s="12" t="s">
        <x:v>48</x:v>
      </x:c>
      <x:c r="G10" s="12" t="s">
        <x:v>69</x:v>
      </x:c>
      <x:c r="H10" s="12" t="s">
        <x:v>86</x:v>
      </x:c>
    </x:row>
    <x:row r="11" spans="1:8" ht="60" customHeight="1">
      <x:c r="A11" s="22" t="s">
        <x:v>29</x:v>
      </x:c>
      <x:c r="B11" s="14" t="s">
        <x:v>199</x:v>
      </x:c>
      <x:c r="C11" s="14" t="s">
        <x:v>27</x:v>
      </x:c>
      <x:c r="D11" s="14" t="s">
        <x:v>252</x:v>
      </x:c>
      <x:c r="E11" s="4">
        <x:v>46000000</x:v>
      </x:c>
      <x:c r="F11" s="12" t="s">
        <x:v>23</x:v>
      </x:c>
      <x:c r="G11" s="12" t="s">
        <x:v>140</x:v>
      </x:c>
      <x:c r="H11" s="12" t="s">
        <x:v>258</x:v>
      </x:c>
    </x:row>
    <x:row r="12" spans="1:8" ht="17.14999999999999857891" customHeight="1">
      <x:c r="A12" s="38" t="s">
        <x:v>14</x:v>
      </x:c>
      <x:c r="B12" s="38"/>
      <x:c r="C12" s="38"/>
      <x:c r="D12" s="38"/>
      <x:c r="E12" s="8">
        <x:f>SUM(E4:E11)</x:f>
        <x:v>960000000</x:v>
      </x:c>
      <x:c r="F12" s="16"/>
      <x:c r="G12" s="16"/>
      <x:c r="H12" s="16"/>
    </x:row>
  </x:sheetData>
  <x:mergeCells count="2">
    <x:mergeCell ref="A1:H1"/>
    <x:mergeCell ref="A12:D12"/>
  </x:mergeCells>
  <x:pageMargins left="0.75" right="0.75" top="1" bottom="1" header="0.51166665554046630859" footer="0.51166665554046630859"/>
  <x:pageSetup paperSize="9" scale="100" firstPageNumber="1" fitToWidth="1" fitToHeight="1" orientation="portrait" usePrinterDefaults="1" blackAndWhite="0" draft="0" useFirstPageNumber="0" horizontalDpi="300" verticalDpi="3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E26"/>
  <x:sheetViews>
    <x:sheetView topLeftCell="A1" zoomScaleNormal="100" zoomScaleSheetLayoutView="100" workbookViewId="0">
      <x:pane xSplit="0" ySplit="5" topLeftCell="A6" activePane="bottomLeft" state="frozen"/>
      <x:selection pane="bottomLeft" activeCell="B10" activeCellId="0" sqref="B10:B10"/>
    </x:sheetView>
  </x:sheetViews>
  <x:sheetFormatPr defaultColWidth="8.6328125" defaultRowHeight="16.39999999999999857891"/>
  <x:cols>
    <x:col min="1" max="1" width="22" style="20" customWidth="1"/>
    <x:col min="2" max="2" width="40" style="20" customWidth="1"/>
    <x:col min="3" max="3" width="16" style="20" customWidth="1"/>
    <x:col min="4" max="4" width="14" style="20" customWidth="1"/>
    <x:col min="5" max="5" width="30" style="20" customWidth="1"/>
    <x:col min="6" max="16384" width="8.6328125" style="20"/>
  </x:cols>
  <x:sheetData>
    <x:row r="1" spans="1:5" ht="27.75" customHeight="1">
      <x:c r="A1" s="29" t="s">
        <x:v>35</x:v>
      </x:c>
      <x:c r="B1" s="29"/>
      <x:c r="C1" s="29"/>
      <x:c r="D1" s="29"/>
      <x:c r="E1" s="29"/>
    </x:row>
    <x:row r="2" spans="1:5" ht="17.14999999999999857891" customHeight="1">
      <x:c r="A2" s="39" t="s">
        <x:v>262</x:v>
      </x:c>
      <x:c r="B2" s="39"/>
      <x:c r="C2" s="39"/>
      <x:c r="D2" s="39"/>
      <x:c r="E2" s="39"/>
    </x:row>
    <x:row r="4" spans="1:5">
      <x:c r="A4" s="40" t="s">
        <x:v>92</x:v>
      </x:c>
      <x:c r="B4" s="40"/>
      <x:c r="C4" s="40"/>
      <x:c r="D4" s="40"/>
      <x:c r="E4" s="40"/>
    </x:row>
    <x:row r="5" spans="1:5">
      <x:c r="A5" s="13" t="s">
        <x:v>145</x:v>
      </x:c>
      <x:c r="B5" s="13" t="s">
        <x:v>229</x:v>
      </x:c>
      <x:c r="C5" s="13" t="s">
        <x:v>251</x:v>
      </x:c>
      <x:c r="D5" s="13" t="s">
        <x:v>7</x:v>
      </x:c>
      <x:c r="E5" s="13" t="s">
        <x:v>15</x:v>
      </x:c>
    </x:row>
    <x:row r="6" spans="1:5">
      <x:c r="A6" s="14" t="s">
        <x:v>133</x:v>
      </x:c>
      <x:c r="B6" s="14" t="s">
        <x:v>214</x:v>
      </x:c>
      <x:c r="C6" s="4">
        <x:v>504750000</x:v>
      </x:c>
      <x:c r="D6" s="5">
        <x:f>C6/$C$9</x:f>
        <x:v>0.9725433526011561</x:v>
      </x:c>
      <x:c r="E6" s="12" t="s">
        <x:v>90</x:v>
      </x:c>
    </x:row>
    <x:row r="7" spans="1:5">
      <x:c r="A7" s="14" t="s">
        <x:v>125</x:v>
      </x:c>
      <x:c r="B7" s="14" t="s">
        <x:v>233</x:v>
      </x:c>
      <x:c r="C7" s="4">
        <x:v>13750000</x:v>
      </x:c>
      <x:c r="D7" s="5">
        <x:f>C7/$C$9</x:f>
        <x:v>0.026493256262042388</x:v>
      </x:c>
      <x:c r="E7" s="12" t="s">
        <x:v>90</x:v>
      </x:c>
    </x:row>
    <x:row r="8" spans="1:5">
      <x:c r="A8" s="14" t="s">
        <x:v>134</x:v>
      </x:c>
      <x:c r="B8" s="14" t="s">
        <x:v>137</x:v>
      </x:c>
      <x:c r="C8" s="4">
        <x:v>500000</x:v>
      </x:c>
      <x:c r="D8" s="5">
        <x:f>C8/$C$9</x:f>
        <x:v>0.00096339113680154141</x:v>
      </x:c>
      <x:c r="E8" s="12" t="s">
        <x:v>181</x:v>
      </x:c>
    </x:row>
    <x:row r="9" spans="1:5" ht="17.14999999999999857891" customHeight="1">
      <x:c r="A9" s="38" t="s">
        <x:v>240</x:v>
      </x:c>
      <x:c r="B9" s="38"/>
      <x:c r="C9" s="8">
        <x:f>SUM(C6:C8)</x:f>
        <x:v>519000000</x:v>
      </x:c>
      <x:c r="D9" s="9">
        <x:f>C9/$C$9</x:f>
        <x:v>1</x:v>
      </x:c>
      <x:c r="E9" s="27" t="s">
        <x:v>71</x:v>
      </x:c>
    </x:row>
    <x:row r="11" spans="1:5">
      <x:c r="A11" s="40" t="s">
        <x:v>172</x:v>
      </x:c>
      <x:c r="B11" s="40"/>
      <x:c r="C11" s="40"/>
      <x:c r="D11" s="40"/>
      <x:c r="E11" s="40"/>
    </x:row>
    <x:row r="12" spans="1:5" ht="26.35000000000000142109">
      <x:c r="A12" s="13" t="s">
        <x:v>138</x:v>
      </x:c>
      <x:c r="B12" s="13" t="s">
        <x:v>238</x:v>
      </x:c>
      <x:c r="C12" s="13" t="s">
        <x:v>251</x:v>
      </x:c>
      <x:c r="D12" s="13" t="s">
        <x:v>80</x:v>
      </x:c>
      <x:c r="E12" s="13" t="s">
        <x:v>15</x:v>
      </x:c>
    </x:row>
    <x:row r="13" spans="1:5" ht="31.5" customHeight="1">
      <x:c r="A13" s="14" t="s">
        <x:v>83</x:v>
      </x:c>
      <x:c r="B13" s="12" t="s">
        <x:v>19</x:v>
      </x:c>
      <x:c r="C13" s="4">
        <x:v>295167000</x:v>
      </x:c>
      <x:c r="D13" s="5">
        <x:f>C13/$C$6</x:f>
        <x:v>0.58477860326894504</x:v>
      </x:c>
      <x:c r="E13" s="12" t="s">
        <x:v>247</x:v>
      </x:c>
    </x:row>
    <x:row r="14" spans="1:5" ht="31.5" customHeight="1">
      <x:c r="A14" s="14" t="s">
        <x:v>174</x:v>
      </x:c>
      <x:c r="B14" s="12" t="s">
        <x:v>45</x:v>
      </x:c>
      <x:c r="C14" s="4">
        <x:v>81416000</x:v>
      </x:c>
      <x:c r="D14" s="5">
        <x:f>C14/$C$6</x:f>
        <x:v>0.16129965329370977</x:v>
      </x:c>
      <x:c r="E14" s="12"/>
    </x:row>
    <x:row r="15" spans="1:5" ht="31.5" customHeight="1">
      <x:c r="A15" s="14" t="s">
        <x:v>84</x:v>
      </x:c>
      <x:c r="B15" s="12" t="s">
        <x:v>41</x:v>
      </x:c>
      <x:c r="C15" s="4">
        <x:v>68767000</x:v>
      </x:c>
      <x:c r="D15" s="5">
        <x:f>C15/$C$6</x:f>
        <x:v>0.13623972263496781</x:v>
      </x:c>
      <x:c r="E15" s="12"/>
    </x:row>
    <x:row r="16" spans="1:5" ht="31.5" customHeight="1">
      <x:c r="A16" s="14" t="s">
        <x:v>27</x:v>
      </x:c>
      <x:c r="B16" s="12" t="s">
        <x:v>13</x:v>
      </x:c>
      <x:c r="C16" s="4">
        <x:v>59400000</x:v>
      </x:c>
      <x:c r="D16" s="5">
        <x:f>C16/$C$6</x:f>
        <x:v>0.11768202080237741</x:v>
      </x:c>
      <x:c r="E16" s="12"/>
    </x:row>
    <x:row r="17" spans="1:5" ht="17.14999999999999857891" customHeight="1">
      <x:c r="A17" s="38" t="s">
        <x:v>213</x:v>
      </x:c>
      <x:c r="B17" s="38"/>
      <x:c r="C17" s="8">
        <x:f>SUM(C13:C16)</x:f>
        <x:v>504750000</x:v>
      </x:c>
      <x:c r="D17" s="9">
        <x:f>C17/$C$6</x:f>
        <x:v>1</x:v>
      </x:c>
      <x:c r="E17" s="27"/>
    </x:row>
    <x:row r="19" spans="1:5">
      <x:c r="A19" s="40" t="s">
        <x:v>88</x:v>
      </x:c>
      <x:c r="B19" s="40"/>
      <x:c r="C19" s="40"/>
      <x:c r="D19" s="40"/>
      <x:c r="E19" s="40"/>
    </x:row>
    <x:row r="20" spans="1:5">
      <x:c r="A20" s="13" t="s">
        <x:v>124</x:v>
      </x:c>
      <x:c r="B20" s="13" t="s">
        <x:v>132</x:v>
      </x:c>
      <x:c r="C20" s="13" t="s">
        <x:v>142</x:v>
      </x:c>
      <x:c r="D20" s="13" t="s">
        <x:v>245</x:v>
      </x:c>
      <x:c r="E20" s="13" t="s">
        <x:v>251</x:v>
      </x:c>
    </x:row>
    <x:row r="21" spans="1:5">
      <x:c r="A21" s="12" t="s">
        <x:v>105</x:v>
      </x:c>
      <x:c r="B21" s="14" t="s">
        <x:v>179</x:v>
      </x:c>
      <x:c r="C21" s="4">
        <x:v>20</x:v>
      </x:c>
      <x:c r="D21" s="4">
        <x:v>250000</x:v>
      </x:c>
      <x:c r="E21" s="4">
        <x:f>C21*D21</x:f>
        <x:v>5000000</x:v>
      </x:c>
    </x:row>
    <x:row r="22" spans="1:5">
      <x:c r="A22" s="12" t="s">
        <x:v>77</x:v>
      </x:c>
      <x:c r="B22" s="14" t="s">
        <x:v>78</x:v>
      </x:c>
      <x:c r="C22" s="4">
        <x:v>10</x:v>
      </x:c>
      <x:c r="D22" s="4">
        <x:v>250000</x:v>
      </x:c>
      <x:c r="E22" s="4">
        <x:f>C22*D22</x:f>
        <x:v>2500000</x:v>
      </x:c>
    </x:row>
    <x:row r="23" spans="1:5">
      <x:c r="A23" s="12" t="s">
        <x:v>102</x:v>
      </x:c>
      <x:c r="B23" s="14" t="s">
        <x:v>177</x:v>
      </x:c>
      <x:c r="C23" s="4">
        <x:v>10</x:v>
      </x:c>
      <x:c r="D23" s="4">
        <x:v>250000</x:v>
      </x:c>
      <x:c r="E23" s="4">
        <x:f>C23*D23</x:f>
        <x:v>2500000</x:v>
      </x:c>
    </x:row>
    <x:row r="24" spans="1:5">
      <x:c r="A24" s="12" t="s">
        <x:v>103</x:v>
      </x:c>
      <x:c r="B24" s="14" t="s">
        <x:v>99</x:v>
      </x:c>
      <x:c r="C24" s="4">
        <x:v>10</x:v>
      </x:c>
      <x:c r="D24" s="4">
        <x:v>250000</x:v>
      </x:c>
      <x:c r="E24" s="4">
        <x:f>C24*D24</x:f>
        <x:v>2500000</x:v>
      </x:c>
    </x:row>
    <x:row r="25" spans="1:5">
      <x:c r="A25" s="12" t="s">
        <x:v>222</x:v>
      </x:c>
      <x:c r="B25" s="14" t="s">
        <x:v>135</x:v>
      </x:c>
      <x:c r="C25" s="4">
        <x:v>5</x:v>
      </x:c>
      <x:c r="D25" s="4">
        <x:v>250000</x:v>
      </x:c>
      <x:c r="E25" s="4">
        <x:f>C25*D25</x:f>
        <x:v>1250000</x:v>
      </x:c>
    </x:row>
    <x:row r="26" spans="1:5" ht="17.14999999999999857891" customHeight="1">
      <x:c r="A26" s="41" t="s">
        <x:v>236</x:v>
      </x:c>
      <x:c r="B26" s="41"/>
      <x:c r="C26" s="41"/>
      <x:c r="D26" s="41"/>
      <x:c r="E26" s="8">
        <x:f>SUM(E21:E25)</x:f>
        <x:v>13750000</x:v>
      </x:c>
    </x:row>
  </x:sheetData>
  <x:mergeCells count="8">
    <x:mergeCell ref="A1:E1"/>
    <x:mergeCell ref="A2:E2"/>
    <x:mergeCell ref="A4:E4"/>
    <x:mergeCell ref="A9:B9"/>
    <x:mergeCell ref="A11:E11"/>
    <x:mergeCell ref="A17:B17"/>
    <x:mergeCell ref="A19:E19"/>
    <x:mergeCell ref="A26:D26"/>
  </x:mergeCells>
  <x:pageMargins left="0.75" right="0.75" top="1" bottom="1" header="0.51166665554046630859" footer="0.51166665554046630859"/>
  <x:pageSetup paperSize="9" scale="100" firstPageNumber="1" fitToWidth="1" fitToHeight="1" orientation="portrait" usePrinterDefaults="1" blackAndWhite="0" draft="0" useFirstPageNumber="0" horizontalDpi="300" verticalDpi="3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C49"/>
  <x:sheetViews>
    <x:sheetView topLeftCell="A31" zoomScaleNormal="100" zoomScaleSheetLayoutView="100" workbookViewId="0">
      <x:selection activeCell="B4" activeCellId="0" sqref="B4:B4"/>
    </x:sheetView>
  </x:sheetViews>
  <x:sheetFormatPr defaultColWidth="8.6328125" defaultRowHeight="16.39999999999999857891"/>
  <x:cols>
    <x:col min="1" max="1" width="26" style="20" customWidth="1"/>
    <x:col min="2" max="2" width="64" style="20" customWidth="1"/>
    <x:col min="3" max="3" width="14" style="20" customWidth="1"/>
    <x:col min="4" max="16384" width="8.6328125" style="20"/>
  </x:cols>
  <x:sheetData>
    <x:row r="1" spans="1:3" ht="27.75" customHeight="1">
      <x:c r="A1" s="29" t="s">
        <x:v>107</x:v>
      </x:c>
      <x:c r="B1" s="29"/>
      <x:c r="C1" s="29"/>
    </x:row>
    <x:row r="3" spans="1:3">
      <x:c r="A3" s="28" t="s">
        <x:v>220</x:v>
      </x:c>
      <x:c r="B3" s="28"/>
      <x:c r="C3" s="28"/>
    </x:row>
    <x:row r="4" spans="1:3">
      <x:c r="A4" s="12" t="s">
        <x:v>216</x:v>
      </x:c>
      <x:c r="B4" s="12" t="s">
        <x:v>22</x:v>
      </x:c>
      <x:c r="C4" s="12"/>
    </x:row>
    <x:row r="5" spans="1:3">
      <x:c r="A5" s="12" t="s">
        <x:v>228</x:v>
      </x:c>
      <x:c r="B5" s="12" t="s">
        <x:v>33</x:v>
      </x:c>
      <x:c r="C5" s="12"/>
    </x:row>
    <x:row r="6" spans="1:3">
      <x:c r="A6" s="12" t="s">
        <x:v>79</x:v>
      </x:c>
      <x:c r="B6" s="12" t="s">
        <x:v>12</x:v>
      </x:c>
      <x:c r="C6" s="12"/>
    </x:row>
    <x:row r="7" spans="1:3">
      <x:c r="A7" s="12" t="s">
        <x:v>100</x:v>
      </x:c>
      <x:c r="B7" s="12" t="s">
        <x:v>40</x:v>
      </x:c>
      <x:c r="C7" s="12"/>
    </x:row>
    <x:row r="8" spans="1:3">
      <x:c r="A8" s="12" t="s">
        <x:v>175</x:v>
      </x:c>
      <x:c r="B8" s="12" t="s">
        <x:v>34</x:v>
      </x:c>
      <x:c r="C8" s="12"/>
    </x:row>
    <x:row r="9" spans="1:3">
      <x:c r="A9" s="12" t="s">
        <x:v>218</x:v>
      </x:c>
      <x:c r="B9" s="12" t="s">
        <x:v>244</x:v>
      </x:c>
      <x:c r="C9" s="12"/>
    </x:row>
    <x:row r="10" spans="1:3">
      <x:c r="A10" s="12"/>
      <x:c r="B10" s="12"/>
      <x:c r="C10" s="12"/>
    </x:row>
    <x:row r="11" spans="1:3">
      <x:c r="A11" s="28" t="s">
        <x:v>248</x:v>
      </x:c>
      <x:c r="B11" s="28"/>
      <x:c r="C11" s="28"/>
    </x:row>
    <x:row r="12" spans="1:3">
      <x:c r="A12" s="12" t="s">
        <x:v>29</x:v>
      </x:c>
      <x:c r="B12" s="12" t="s">
        <x:v>264</x:v>
      </x:c>
      <x:c r="C12" s="12" t="s">
        <x:v>253</x:v>
      </x:c>
    </x:row>
    <x:row r="13" spans="1:3">
      <x:c r="A13" s="12" t="s">
        <x:v>24</x:v>
      </x:c>
      <x:c r="B13" s="12" t="s">
        <x:v>112</x:v>
      </x:c>
      <x:c r="C13" s="12" t="s">
        <x:v>250</x:v>
      </x:c>
    </x:row>
    <x:row r="14" spans="1:3">
      <x:c r="A14" s="12" t="s">
        <x:v>234</x:v>
      </x:c>
      <x:c r="B14" s="12" t="s">
        <x:v>113</x:v>
      </x:c>
      <x:c r="C14" s="12"/>
    </x:row>
    <x:row r="15" spans="1:3">
      <x:c r="A15" s="12"/>
      <x:c r="B15" s="12"/>
      <x:c r="C15" s="12"/>
    </x:row>
    <x:row r="16" spans="1:3">
      <x:c r="A16" s="28" t="s">
        <x:v>169</x:v>
      </x:c>
      <x:c r="B16" s="28"/>
      <x:c r="C16" s="28"/>
    </x:row>
    <x:row r="17" spans="1:3">
      <x:c r="A17" s="12" t="s">
        <x:v>8</x:v>
      </x:c>
      <x:c r="B17" s="12" t="s">
        <x:v>58</x:v>
      </x:c>
      <x:c r="C17" s="12" t="s">
        <x:v>139</x:v>
      </x:c>
    </x:row>
    <x:row r="18" spans="1:3">
      <x:c r="A18" s="12" t="s">
        <x:v>144</x:v>
      </x:c>
      <x:c r="B18" s="12" t="s">
        <x:v>254</x:v>
      </x:c>
      <x:c r="C18" s="12" t="s">
        <x:v>158</x:v>
      </x:c>
    </x:row>
    <x:row r="19" spans="1:3">
      <x:c r="A19" s="12" t="s">
        <x:v>122</x:v>
      </x:c>
      <x:c r="B19" s="12" t="s">
        <x:v>167</x:v>
      </x:c>
      <x:c r="C19" s="12" t="s">
        <x:v>143</x:v>
      </x:c>
    </x:row>
    <x:row r="20" spans="1:3">
      <x:c r="A20" s="12" t="s">
        <x:v>155</x:v>
      </x:c>
      <x:c r="B20" s="12" t="s">
        <x:v>101</x:v>
      </x:c>
      <x:c r="C20" s="12" t="s">
        <x:v>158</x:v>
      </x:c>
    </x:row>
    <x:row r="21" spans="1:3">
      <x:c r="A21" s="12" t="s">
        <x:v>154</x:v>
      </x:c>
      <x:c r="B21" s="12" t="s">
        <x:v>161</x:v>
      </x:c>
      <x:c r="C21" s="12" t="s">
        <x:v>143</x:v>
      </x:c>
    </x:row>
    <x:row r="22" spans="1:3">
      <x:c r="A22" s="12" t="s">
        <x:v>116</x:v>
      </x:c>
      <x:c r="B22" s="12" t="s">
        <x:v>72</x:v>
      </x:c>
      <x:c r="C22" s="12" t="s">
        <x:v>139</x:v>
      </x:c>
    </x:row>
    <x:row r="23" spans="1:3">
      <x:c r="A23" s="12" t="s">
        <x:v>131</x:v>
      </x:c>
      <x:c r="B23" s="12" t="s">
        <x:v>64</x:v>
      </x:c>
      <x:c r="C23" s="12" t="s">
        <x:v>139</x:v>
      </x:c>
    </x:row>
    <x:row r="24" spans="1:3">
      <x:c r="A24" s="12"/>
      <x:c r="B24" s="12"/>
      <x:c r="C24" s="12"/>
    </x:row>
    <x:row r="25" spans="1:3">
      <x:c r="A25" s="28" t="s">
        <x:v>61</x:v>
      </x:c>
      <x:c r="B25" s="28"/>
      <x:c r="C25" s="28"/>
    </x:row>
    <x:row r="26" spans="1:3">
      <x:c r="A26" s="12" t="s">
        <x:v>4</x:v>
      </x:c>
      <x:c r="B26" s="12" t="s">
        <x:v>106</x:v>
      </x:c>
      <x:c r="C26" s="12" t="s">
        <x:v>139</x:v>
      </x:c>
    </x:row>
    <x:row r="27" spans="1:3">
      <x:c r="A27" s="12" t="s">
        <x:v>150</x:v>
      </x:c>
      <x:c r="B27" s="12" t="s">
        <x:v>66</x:v>
      </x:c>
      <x:c r="C27" s="12" t="s">
        <x:v>158</x:v>
      </x:c>
    </x:row>
    <x:row r="28" spans="1:3">
      <x:c r="A28" s="12" t="s">
        <x:v>126</x:v>
      </x:c>
      <x:c r="B28" s="12" t="s">
        <x:v>57</x:v>
      </x:c>
      <x:c r="C28" s="12" t="s">
        <x:v>143</x:v>
      </x:c>
    </x:row>
    <x:row r="29" spans="1:3">
      <x:c r="A29" s="12" t="s">
        <x:v>159</x:v>
      </x:c>
      <x:c r="B29" s="12" t="s">
        <x:v>76</x:v>
      </x:c>
      <x:c r="C29" s="12" t="s">
        <x:v>139</x:v>
      </x:c>
    </x:row>
    <x:row r="30" spans="1:3">
      <x:c r="A30" s="12"/>
      <x:c r="B30" s="12"/>
      <x:c r="C30" s="12"/>
    </x:row>
    <x:row r="31" spans="1:3">
      <x:c r="A31" s="28" t="s">
        <x:v>95</x:v>
      </x:c>
      <x:c r="B31" s="28"/>
      <x:c r="C31" s="28"/>
    </x:row>
    <x:row r="32" spans="1:3">
      <x:c r="A32" s="12" t="s">
        <x:v>121</x:v>
      </x:c>
      <x:c r="B32" s="12" t="s">
        <x:v>75</x:v>
      </x:c>
      <x:c r="C32" s="12" t="s">
        <x:v>119</x:v>
      </x:c>
    </x:row>
    <x:row r="33" spans="1:3">
      <x:c r="A33" s="12" t="s">
        <x:v>217</x:v>
      </x:c>
      <x:c r="B33" s="12" t="s">
        <x:v>73</x:v>
      </x:c>
      <x:c r="C33" s="12" t="s">
        <x:v>152</x:v>
      </x:c>
    </x:row>
    <x:row r="34" spans="1:3">
      <x:c r="A34" s="12" t="s">
        <x:v>235</x:v>
      </x:c>
      <x:c r="B34" s="12" t="s">
        <x:v>110</x:v>
      </x:c>
      <x:c r="C34" s="12" t="s">
        <x:v>120</x:v>
      </x:c>
    </x:row>
    <x:row r="35" spans="1:3">
      <x:c r="A35" s="12" t="s">
        <x:v>211</x:v>
      </x:c>
      <x:c r="B35" s="12" t="s">
        <x:v>171</x:v>
      </x:c>
      <x:c r="C35" s="12" t="s">
        <x:v>136</x:v>
      </x:c>
    </x:row>
    <x:row r="36" spans="1:3">
      <x:c r="A36" s="12" t="s">
        <x:v>225</x:v>
      </x:c>
      <x:c r="B36" s="12" t="s">
        <x:v>170</x:v>
      </x:c>
      <x:c r="C36" s="12" t="s">
        <x:v>157</x:v>
      </x:c>
    </x:row>
    <x:row r="37" spans="1:3">
      <x:c r="A37" s="12" t="s">
        <x:v>210</x:v>
      </x:c>
      <x:c r="B37" s="12" t="s">
        <x:v>265</x:v>
      </x:c>
      <x:c r="C37" s="12" t="s">
        <x:v>118</x:v>
      </x:c>
    </x:row>
    <x:row r="38" spans="1:3">
      <x:c r="A38" s="12"/>
      <x:c r="B38" s="12"/>
      <x:c r="C38" s="12"/>
    </x:row>
    <x:row r="39" spans="1:3">
      <x:c r="A39" s="28" t="s">
        <x:v>173</x:v>
      </x:c>
      <x:c r="B39" s="28"/>
      <x:c r="C39" s="28"/>
    </x:row>
    <x:row r="40" spans="1:3">
      <x:c r="A40" s="12" t="s">
        <x:v>153</x:v>
      </x:c>
      <x:c r="B40" s="12" t="s">
        <x:v>261</x:v>
      </x:c>
      <x:c r="C40" s="12"/>
    </x:row>
    <x:row r="41" spans="1:3">
      <x:c r="A41" s="12" t="s">
        <x:v>149</x:v>
      </x:c>
      <x:c r="B41" s="12" t="s">
        <x:v>21</x:v>
      </x:c>
      <x:c r="C41" s="12"/>
    </x:row>
    <x:row r="42" spans="1:3">
      <x:c r="A42" s="12" t="s">
        <x:v>141</x:v>
      </x:c>
      <x:c r="B42" s="12" t="s">
        <x:v>260</x:v>
      </x:c>
      <x:c r="C42" s="12"/>
    </x:row>
    <x:row r="43" spans="1:3">
      <x:c r="A43" s="12" t="s">
        <x:v>156</x:v>
      </x:c>
      <x:c r="B43" s="12" t="s">
        <x:v>31</x:v>
      </x:c>
      <x:c r="C43" s="12"/>
    </x:row>
    <x:row r="44" spans="1:3">
      <x:c r="A44" s="12" t="s">
        <x:v>151</x:v>
      </x:c>
      <x:c r="B44" s="12" t="s">
        <x:v>42</x:v>
      </x:c>
      <x:c r="C44" s="12"/>
    </x:row>
    <x:row r="45" spans="1:3">
      <x:c r="A45" s="12"/>
      <x:c r="B45" s="12"/>
      <x:c r="C45" s="12"/>
    </x:row>
    <x:row r="46" spans="1:3">
      <x:c r="A46" s="28" t="s">
        <x:v>178</x:v>
      </x:c>
      <x:c r="B46" s="28"/>
      <x:c r="C46" s="28"/>
    </x:row>
    <x:row r="47" spans="1:3">
      <x:c r="A47" s="12" t="s">
        <x:v>147</x:v>
      </x:c>
      <x:c r="B47" s="12" t="s">
        <x:v>259</x:v>
      </x:c>
      <x:c r="C47" s="12"/>
    </x:row>
    <x:row r="48" spans="1:3" ht="26.35000000000000142109">
      <x:c r="A48" s="12" t="s">
        <x:v>223</x:v>
      </x:c>
      <x:c r="B48" s="12" t="s">
        <x:v>49</x:v>
      </x:c>
      <x:c r="C48" s="12"/>
    </x:row>
    <x:row r="49" spans="1:3">
      <x:c r="A49" s="12" t="s">
        <x:v>117</x:v>
      </x:c>
      <x:c r="B49" s="12" t="s">
        <x:v>37</x:v>
      </x:c>
      <x:c r="C49" s="12"/>
    </x:row>
  </x:sheetData>
  <x:mergeCells count="1">
    <x:mergeCell ref="A1:C1"/>
  </x:mergeCells>
  <x:pageMargins left="0.75" right="0.75" top="1" bottom="1" header="0.51166665554046630859" footer="0.51166665554046630859"/>
  <x:pageSetup paperSize="9" scale="100" firstPageNumber="1" fitToWidth="1" fitToHeight="1" orientation="portrait" usePrinterDefaults="1" blackAndWhite="0" draft="0" useFirstPageNumber="0" horizontalDpi="300" verticalDpi="3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6" baseType="lpstr">
      <vt:lpstr>① 대시보드</vt:lpstr>
      <vt:lpstr>② 견적리스트</vt:lpstr>
      <vt:lpstr>③ 수주·수금 현황</vt:lpstr>
      <vt:lpstr>④ 업체별 상세</vt:lpstr>
      <vt:lpstr>⑤ 을화 염료조제 내역</vt:lpstr>
      <vt:lpstr>⑥ 안내</vt:lpstr>
    </vt:vector>
  </ep:TitlesOfParts>
  <ep:TotalTime>68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atom5</cp:lastModifiedBy>
  <cp:revision>5</cp:revision>
  <dcterms:created xsi:type="dcterms:W3CDTF">2026-04-22T12:14:09.000</dcterms:created>
  <dcterms:modified xsi:type="dcterms:W3CDTF">2026-06-05T12:58:51.477</dcterms:modified>
  <cp:version>1200.0100.01</cp:version>
</cp:coreProperties>
</file>