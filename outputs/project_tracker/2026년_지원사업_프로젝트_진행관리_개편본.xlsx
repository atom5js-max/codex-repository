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tom5\Desktop\codex storage\outputs\project_tracker\"/>
    </mc:Choice>
  </mc:AlternateContent>
  <x:bookViews>
    <x:workbookView xWindow="0" yWindow="0" windowWidth="18950" windowHeight="7920" tabRatio="659" activeTab="1"/>
  </x:bookViews>
  <x:sheets>
    <x:sheet name="대시보드" sheetId="1" r:id="rId4"/>
    <x:sheet name="프로젝트관리" sheetId="2" r:id="rId5"/>
    <x:sheet name="공정진행관리" sheetId="3" r:id="rId6"/>
    <x:sheet name="업무이력" sheetId="4" r:id="rId7"/>
    <x:sheet name="상생협력관리" sheetId="5" r:id="rId8"/>
    <x:sheet name="코드목록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<x:sst xmlns:r="http://schemas.openxmlformats.org/officeDocument/2006/relationships" xmlns:c="http://schemas.openxmlformats.org/drawingml/2006/chart" xmlns:x="http://schemas.openxmlformats.org/spreadsheetml/2006/main" count="770" uniqueCount="266">
  <x:si>
    <x:t>전화, 회의, 견적 제출, 발주, 설치, 수금 등 실제 처리한 일을 날짜별로 누적 기록합니다. 현재 상태는 프로젝트 현황판에서 관리합니다.</x:t>
  </x:si>
  <x:si>
    <x:t>나라장터 입찰 물품계약</x:t>
  </x:si>
  <x:si>
    <x:t>자동제어 스팀트랩 설치 건</x:t>
  </x:si>
  <x:si>
    <x:t>새 프로젝트 입력용 행</x:t>
  </x:si>
  <x:si>
    <x:t>010-2005-0476</x:t>
  </x:si>
  <x:si>
    <x:t>염료,조제 스마트제어시스템</x:t>
  </x:si>
  <x:si>
    <x:t>010-8857-0476</x:t>
  </x:si>
  <x:si>
    <x:t>프로젝트 현황판 재정리</x:t>
  </x:si>
  <x:si>
    <x:t>화학안전 사업장 조성사업</x:t>
  </x:si>
  <x:si>
    <x:t>상생협력 실증 프로그램</x:t>
  </x:si>
  <x:si>
    <x:t>응축수 회수-열교환 시스템</x:t>
  </x:si>
  <x:si>
    <x:t>코드목록 및 입력 기준</x:t>
  </x:si>
  <x:si>
    <x:t>(주)부성티에프시 대구공장</x:t>
  </x:si>
  <x:si>
    <x:t>견적/사업 진행 상태 확인</x:t>
  </x:si>
  <x:si>
    <x:t>낙찰자와 물품 계약 체결</x:t>
  </x:si>
  <x:si>
    <x:t>나라장터 입찰·계약 진행관리</x:t>
  </x:si>
  <x:si>
    <x:t>현장 납품 및 설치 진행</x:t>
  </x:si>
  <x:si>
    <x:t>개찰 결과 및 낙찰자 확인</x:t>
  </x:si>
  <x:si>
    <x:t>입찰 질의 및 답변 관리</x:t>
  </x:si>
  <x:si>
    <x:t>검수조서 및 성능 확인</x:t>
  </x:si>
  <x:si>
    <x:t>대영염공(주)/입찰참여사</x:t>
  </x:si>
  <x:si>
    <x:t>연속정련-수세기 설치 공사</x:t>
  </x:si>
  <x:si>
    <x:t>물품 구매 입찰 공고 등록</x:t>
  </x:si>
  <x:si>
    <x:t>전자입찰 투찰 마감 확인</x:t>
  </x:si>
  <x:si>
    <x:t/>
  </x:si>
  <x:si>
    <x:t>선정</x:t>
  </x:si>
  <x:si>
    <x:t>오정수</x:t>
  </x:si>
  <x:si>
    <x:t>건수</x:t>
  </x:si>
  <x:si>
    <x:t>단계</x:t>
  </x:si>
  <x:si>
    <x:t>미수금</x:t>
  </x:si>
  <x:si>
    <x:t>신규</x:t>
  </x:si>
  <x:si>
    <x:t>후보</x:t>
  </x:si>
  <x:si>
    <x:t>값</x:t>
  </x:si>
  <x:si>
    <x:t>견적</x:t>
  </x:si>
  <x:si>
    <x:t>오영정</x:t>
  </x:si>
  <x:si>
    <x:t>설치중</x:t>
  </x:si>
  <x:si>
    <x:t>취소</x:t>
  </x:si>
  <x:si>
    <x:t>총액</x:t>
  </x:si>
  <x:si>
    <x:t>업체</x:t>
  </x:si>
  <x:si>
    <x:t>협의중</x:t>
  </x:si>
  <x:si>
    <x:t>0</x:t>
  </x:si>
  <x:si>
    <x:t>시운전</x:t>
  </x:si>
  <x:si>
    <x:t>제작중</x:t>
  </x:si>
  <x:si>
    <x:t>보류</x:t>
  </x:si>
  <x:si>
    <x:t>계약</x:t>
  </x:si>
  <x:si>
    <x:t>수행</x:t>
  </x:si>
  <x:si>
    <x:t>완료</x:t>
  </x:si>
  <x:si>
    <x:t>비고</x:t>
  </x:si>
  <x:si>
    <x:t>연락처</x:t>
  </x:si>
  <x:si>
    <x:t>진행률</x:t>
  </x:si>
  <x:si>
    <x:t>담당자</x:t>
  </x:si>
  <x:si>
    <x:t>공급사</x:t>
  </x:si>
  <x:si>
    <x:t>메모</x:t>
  </x:si>
  <x:si>
    <x:t>문서</x:t>
  </x:si>
  <x:si>
    <x:t>기록일</x:t>
  </x:si>
  <x:si>
    <x:t>순서</x:t>
  </x:si>
  <x:si>
    <x:t>비목</x:t>
  </x:si>
  <x:si>
    <x:t>기타</x:t>
  </x:si>
  <x:si>
    <x:t>예정일</x:t>
  </x:si>
  <x:si>
    <x:t>완료일</x:t>
  </x:si>
  <x:si>
    <x:t>세목</x:t>
  </x:si>
  <x:si>
    <x:t>상태</x:t>
  </x:si>
  <x:si>
    <x:t>비율</x:t>
  </x:si>
  <x:si>
    <x:t>내용</x:t>
  </x:si>
  <x:si>
    <x:t>전체</x:t>
  </x:si>
  <x:si>
    <x:t>과제명</x:t>
  </x:si>
  <x:si>
    <x:t>건설비</x:t>
  </x:si>
  <x:si>
    <x:t>설치</x:t>
  </x:si>
  <x:si>
    <x:t>소계</x:t>
  </x:si>
  <x:si>
    <x:t>물품</x:t>
  </x:si>
  <x:si>
    <x:t>정산비</x:t>
  </x:si>
  <x:si>
    <x:t>합계</x:t>
  </x:si>
  <x:si>
    <x:t>대기</x:t>
  </x:si>
  <x:si>
    <x:t>규격서</x:t>
  </x:si>
  <x:si>
    <x:t>시설비</x:t>
  </x:si>
  <x:si>
    <x:t>용역</x:t>
  </x:si>
  <x:si>
    <x:t>운영비</x:t>
  </x:si>
  <x:si>
    <x:t>착수계</x:t>
  </x:si>
  <x:si>
    <x:t>납품서</x:t>
  </x:si>
  <x:si>
    <x:t>계약서</x:t>
  </x:si>
  <x:si>
    <x:t>검수</x:t>
  </x:si>
  <x:si>
    <x:t>설명</x:t>
  </x:si>
  <x:si>
    <x:t>수금</x:t>
  </x:si>
  <x:si>
    <x:t>제작</x:t>
  </x:si>
  <x:si>
    <x:t>발주</x:t>
  </x:si>
  <x:si>
    <x:t>회의</x:t>
  </x:si>
  <x:si>
    <x:t>프로젝트ID</x:t>
  </x:si>
  <x:si>
    <x:t>수요업체</x:t>
  </x:si>
  <x:si>
    <x:t>사업 구분</x:t>
  </x:si>
  <x:si>
    <x:t>프로젝트명</x:t>
  </x:si>
  <x:si>
    <x:t>총액(원)</x:t>
  </x:si>
  <x:si>
    <x:t>핵심 지표</x:t>
  </x:si>
  <x:si>
    <x:t>진행상태</x:t>
  </x:si>
  <x:si>
    <x:t>제출완료</x:t>
  </x:si>
  <x:si>
    <x:t>평균 진행률</x:t>
  </x:si>
  <x:si>
    <x:t>선정완료</x:t>
  </x:si>
  <x:si>
    <x:t>원풍물산</x:t>
  </x:si>
  <x:si>
    <x:t>견적작성</x:t>
  </x:si>
  <x:si>
    <x:t>한국에이스</x:t>
  </x:si>
  <x:si>
    <x:t>발주완료</x:t>
  </x:si>
  <x:si>
    <x:t>선금 처리일</x:t>
  </x:si>
  <x:si>
    <x:t>잔금 처리일</x:t>
  </x:si>
  <x:si>
    <x:t>벽진BIO텍</x:t>
  </x:si>
  <x:si>
    <x:t>후보 프로젝트</x:t>
  </x:si>
  <x:si>
    <x:t>원풍물산(주)</x:t>
  </x:si>
  <x:si>
    <x:t>선금 상태</x:t>
  </x:si>
  <x:si>
    <x:t>다음 액션</x:t>
  </x:si>
  <x:si>
    <x:t>액션 마감일</x:t>
  </x:si>
  <x:si>
    <x:t>잔금 상태</x:t>
  </x:si>
  <x:si>
    <x:t>계약완료</x:t>
  </x:si>
  <x:si>
    <x:t>(주)통합</x:t>
  </x:si>
  <x:si>
    <x:t>대영염공(주)</x:t>
  </x:si>
  <x:si>
    <x:t>신한염직</x:t>
  </x:si>
  <x:si>
    <x:t>공인시험기관 시험·분석 수수료</x:t>
  </x:si>
  <x:si>
    <x:t>상생협력 실증 프로그램 별도 관리</x:t>
  </x:si>
  <x:si>
    <x:t>연속 정련-수세기 본체 시스템</x:t>
  </x:si>
  <x:si>
    <x:t>협약체결일 ~ 2026-12-31</x:t>
  </x:si>
  <x:si>
    <x:t>기존 설비 반입·설치 실소요 공사비</x:t>
  </x:si>
  <x:si>
    <x:t>보조금·민간부담금 정산자료 제출</x:t>
  </x:si>
  <x:si>
    <x:t>에너지 모니터링 및 탄소추적 시스템</x:t>
  </x:si>
  <x:si>
    <x:t>선정 후 계약/발주 일정 확인</x:t>
  </x:si>
  <x:si>
    <x:t>스마트 공정액 농도 자동제어 시스템</x:t>
  </x:si>
  <x:si>
    <x:t>텐터기 가스·압출기·집진기 전력량계</x:t>
  </x:si>
  <x:si>
    <x:t>정련염색기/감량기 누출경보 시스템</x:t>
  </x:si>
  <x:si>
    <x:t>나라장터 물품 입찰/계약 일정 등록</x:t>
  </x:si>
  <x:si>
    <x:t>사업 구분/수요업체/견적금액 입력</x:t>
  </x:si>
  <x:si>
    <x:t>상생협력 전용 관리 대상: 총사업비 1,407,979,800원, 나라장터 물품계약 방식</x:t>
  </x:si>
  <x:si>
    <x:t>2026년 지원사업 프로젝트 대시보드</x:t>
  </x:si>
  <x:si>
    <x:t>전자식 스팀트랩, 밸브 등 관련 부속자재 포함 열·스팀 제어 설비</x:t>
  </x:si>
  <x:si>
    <x:t>인버터, 전기자재, 제어용 전기판넬 등 공정 구동 및 전력 제어 설비</x:t>
  </x:si>
  <x:si>
    <x:t>열 재활용 및 공정수 재활용 기능을 적용한 연속 정련·수세기 실증화</x:t>
  </x:si>
  <x:si>
    <x:t>나라장터 입찰로 물품을 계약하고 진행하는 특수 사업으로, 협약/입찰/사업비 사용계획을 별도 관리합니다.</x:t>
  </x:si>
  <x:si>
    <x:t>가성소다·블랙염료 / DCPM 11대 / 내역서 포함</x:t>
  </x:si>
  <x:si>
    <x:t>PDF 견적서 반영: 총액 157,300,000원(VAT 포함)</x:t>
  </x:si>
  <x:si>
    <x:t>STS 30톤 저장탱크 / 부가세 포함 총 96,800,000</x:t>
  </x:si>
  <x:si>
    <x:t>PDF 견적서 반영: 총액 62,700,000원(VAT 포함)</x:t>
  </x:si>
  <x:si>
    <x:t>PDF 견적서 반영: VAT 별도 59,800,000원</x:t>
  </x:si>
  <x:si>
    <x:t>텐터기 건조공정 스팀계통 고효율화 및 응축수 회수설비</x:t>
  </x:si>
  <x:si>
    <x:t>공정 완료일을 입력하는 시트입니다. 진행률 = 발주 10% + 제작 25% + 시험운전 15% + 현장설치 완료 20% + 시운전 완료 20% + 최종 완료 10%</x:t>
  </x:si>
  <x:si>
    <x:t>프로젝트관리와 공정진행관리 입력값을 기준으로 주요 지표가 자동 갱신됩니다.</x:t>
  </x:si>
  <x:si>
    <x:t>구동부 모터, 망글롤러, 터브 수세조, 텐터가이드 등 공정 수행 본체 구성품</x:t>
  </x:si>
  <x:si>
    <x:t>주설비 52M + 자동제어밸브 10M + 배관공사 5M + 현장설치 3M</x:t>
  </x:si>
  <x:si>
    <x:t>초기 이관 기록</x:t>
  </x:si>
  <x:si>
    <x:t>나라장터 품목/규격</x:t>
  </x:si>
  <x:si>
    <x:t>총 프로젝트 수</x:t>
  </x:si>
  <x:si>
    <x:t>견적/계약 대상</x:t>
  </x:si>
  <x:si>
    <x:t>선정완료 프로젝트</x:t>
  </x:si>
  <x:si>
    <x:t>마감 지연 액션</x:t>
  </x:si>
  <x:si>
    <x:t>주의/다음 액션</x:t>
  </x:si>
  <x:si>
    <x:t>(주)을화 비산공장</x:t>
  </x:si>
  <x:si>
    <x:t>신규 수요업체명 입력</x:t>
  </x:si>
  <x:si>
    <x:t>프로젝트 현황판</x:t>
  </x:si>
  <x:si>
    <x:t>섬유 제조 자동화</x:t>
  </x:si>
  <x:si>
    <x:t>스마트 생태공장</x:t>
  </x:si>
  <x:si>
    <x:t>공정수 재활용 시스템</x:t>
  </x:si>
  <x:si>
    <x:t>통합 모니터링 시스템</x:t>
  </x:si>
  <x:si>
    <x:t>신규 프로젝트명 입력</x:t>
  </x:si>
  <x:si>
    <x:t>현장설치 시작일</x:t>
  </x:si>
  <x:si>
    <x:t>시험운전 완료일</x:t>
  </x:si>
  <x:si>
    <x:t>현장설치 완료일</x:t>
  </x:si>
  <x:si>
    <x:t>공정별 진행관리</x:t>
  </x:si>
  <x:si>
    <x:t>사업비 사용계획</x:t>
  </x:si>
  <x:si>
    <x:t>열스팀제어 시스템</x:t>
  </x:si>
  <x:si>
    <x:t>유체공압 이송 유닛</x:t>
  </x:si>
  <x:si>
    <x:t>공정제어-전력시스템</x:t>
  </x:si>
  <x:si>
    <x:t>자동제어 계측 시스템</x:t>
  </x:si>
  <x:si>
    <x:t>GS시스템/대영염공</x:t>
  </x:si>
  <x:si>
    <x:t>물품 제작·조달 착수</x:t>
  </x:si>
  <x:si>
    <x:t>한 프로젝트당 한 줄만 관리합니다. 현재 상태, 수금 처리일, 다음 액션만 확인하고 세부 이력은 업무이력 시트에 기록합니다.</x:t>
  </x:si>
  <x:si>
    <x:t>PDF 견적서 반영: VAT 별도 51,400,000원</x:t>
  </x:si>
  <x:si>
    <x:t>응축수 회수 탱크, 판형 열교환기를 포함한 열회수 시스템</x:t>
  </x:si>
  <x:si>
    <x:t>공압 및 유체 이송 배관과 부속품으로 구성된 자산성 설비</x:t>
  </x:si>
  <x:si>
    <x:t>제어 패널, 계측기 및 제어반으로 구성된 자동제어·계측 시스템</x:t>
  </x:si>
  <x:si>
    <x:t>텐터기 가스·전력 / 유량계 장착 확인</x:t>
  </x:si>
  <x:si>
    <x:t>P-010</x:t>
  </x:si>
  <x:si>
    <x:t>P-011</x:t>
  </x:si>
  <x:si>
    <x:t>다음 확인사항</x:t>
  </x:si>
  <x:si>
    <x:t>아이언텍</x:t>
  </x:si>
  <x:si>
    <x:t>시운전 시작일</x:t>
  </x:si>
  <x:si>
    <x:t>공정저탄소</x:t>
  </x:si>
  <x:si>
    <x:t>P-001</x:t>
  </x:si>
  <x:si>
    <x:t>GS시스템</x:t>
  </x:si>
  <x:si>
    <x:t>P-003</x:t>
  </x:si>
  <x:si>
    <x:t>P-002</x:t>
  </x:si>
  <x:si>
    <x:t>P-004</x:t>
  </x:si>
  <x:si>
    <x:t>P-005</x:t>
  </x:si>
  <x:si>
    <x:t>P-006</x:t>
  </x:si>
  <x:si>
    <x:t>P-007</x:t>
  </x:si>
  <x:si>
    <x:t>제작 완료일</x:t>
  </x:si>
  <x:si>
    <x:t>시운전 완료일</x:t>
  </x:si>
  <x:si>
    <x:t>발주 완료일</x:t>
  </x:si>
  <x:si>
    <x:t>최종 완료일</x:t>
  </x:si>
  <x:si>
    <x:t>P-008</x:t>
  </x:si>
  <x:si>
    <x:t>P-009</x:t>
  </x:si>
  <x:si>
    <x:t>다음 마감일</x:t>
  </x:si>
  <x:si>
    <x:t>세부내역</x:t>
  </x:si>
  <x:si>
    <x:t>처리내용</x:t>
  </x:si>
  <x:si>
    <x:t>증빙/링크</x:t>
  </x:si>
  <x:si>
    <x:t>P-012</x:t>
  </x:si>
  <x:si>
    <x:t>산출근거</x:t>
  </x:si>
  <x:si>
    <x:t>신규 프로젝트</x:t>
  </x:si>
  <x:si>
    <x:t>업무구분</x:t>
  </x:si>
  <x:si>
    <x:t>처리결과</x:t>
  </x:si>
  <x:si>
    <x:t>P-013</x:t>
  </x:si>
  <x:si>
    <x:t>해당없음</x:t>
  </x:si>
  <x:si>
    <x:t>금액(원)</x:t>
  </x:si>
  <x:si>
    <x:t>부담 주체</x:t>
  </x:si>
  <x:si>
    <x:t>담당/대상</x:t>
  </x:si>
  <x:si>
    <x:t>관리 항목</x:t>
  </x:si>
  <x:si>
    <x:t>계약구분</x:t>
  </x:si>
  <x:si>
    <x:t>계약번호</x:t>
  </x:si>
  <x:si>
    <x:t>검수상태</x:t>
  </x:si>
  <x:si>
    <x:t>업무이력</x:t>
  </x:si>
  <x:si>
    <x:t>재원 구분</x:t>
  </x:si>
  <x:si>
    <x:t>입찰상태</x:t>
  </x:si>
  <x:si>
    <x:t>총사업비</x:t>
  </x:si>
  <x:si>
    <x:t>사업방식</x:t>
  </x:si>
  <x:si>
    <x:t>국고보조금</x:t>
  </x:si>
  <x:si>
    <x:t>계약/공고번호</x:t>
  </x:si>
  <x:si>
    <x:t>관련문서</x:t>
  </x:si>
  <x:si>
    <x:t>주요 확인사항</x:t>
  </x:si>
  <x:si>
    <x:t>규격서 확정</x:t>
  </x:si>
  <x:si>
    <x:t>민간부담금</x:t>
  </x:si>
  <x:si>
    <x:t>전담기관</x:t>
  </x:si>
  <x:si>
    <x:t>일반용역비</x:t>
  </x:si>
  <x:si>
    <x:t>입찰공고문</x:t>
  </x:si>
  <x:si>
    <x:t>투찰마감</x:t>
  </x:si>
  <x:si>
    <x:t>개찰/낙찰</x:t>
  </x:si>
  <x:si>
    <x:t>개찰조서</x:t>
  </x:si>
  <x:si>
    <x:t>공사/설치</x:t>
  </x:si>
  <x:si>
    <x:t>자산취득비</x:t>
  </x:si>
  <x:si>
    <x:t>일반수용비</x:t>
  </x:si>
  <x:si>
    <x:t>투찰내역</x:t>
  </x:si>
  <x:si>
    <x:t>회계정산비</x:t>
  </x:si>
  <x:si>
    <x:t>나라장터</x:t>
  </x:si>
  <x:si>
    <x:t>유형자산</x:t>
  </x:si>
  <x:si>
    <x:t>한국환경공단</x:t>
  </x:si>
  <x:si>
    <x:t>질의응답</x:t>
  </x:si>
  <x:si>
    <x:t>물품계약</x:t>
  </x:si>
  <x:si>
    <x:t>설비수요기관</x:t>
  </x:si>
  <x:si>
    <x:t>설비공급기업</x:t>
  </x:si>
  <x:si>
    <x:t>현재상태</x:t>
  </x:si>
  <x:si>
    <x:t>입찰 전</x:t>
  </x:si>
  <x:si>
    <x:t>사전규격 공개</x:t>
  </x:si>
  <x:si>
    <x:t>입찰공고</x:t>
  </x:si>
  <x:si>
    <x:t>사전규격공개</x:t>
  </x:si>
  <x:si>
    <x:t>착수/제작</x:t>
  </x:si>
  <x:si>
    <x:t>계약상대자</x:t>
  </x:si>
  <x:si>
    <x:t>납품/설치</x:t>
  </x:si>
  <x:si>
    <x:t>검수조서</x:t>
  </x:si>
  <x:si>
    <x:t>질의답변</x:t>
  </x:si>
  <x:si>
    <x:t>정산/보고</x:t>
  </x:si>
  <x:si>
    <x:t>협약기간</x:t>
  </x:si>
  <x:si>
    <x:t>수금상태</x:t>
  </x:si>
  <x:si>
    <x:t>시험운전</x:t>
  </x:si>
  <x:si>
    <x:t>관리 흐름</x:t>
  </x:si>
  <x:si>
    <x:t>수금완료</x:t>
  </x:si>
  <x:si>
    <x:t>작업기록 분류</x:t>
  </x:si>
  <x:si>
    <x:t>현장설치</x:t>
  </x:si>
  <x:si>
    <x:t>정산서류</x:t>
  </x:si>
  <x:si>
    <x:t>일부수금</x:t>
  </x:si>
  <x:si>
    <x:t>드롭다운 값</x:t>
  </x:si>
  <x:si>
    <x:t>RO용수·열교환온수회수 마그네틱 유량계 포함</x:t>
  </x:si>
  <x:si>
    <x:t>사업계획서·협약서 기준 물품 규격 확정</x:t>
  </x:si>
  <x:si>
    <x:t>나라장터 사전규격 공개 및 의견 접수</x:t>
  </x:si>
  <x:si>
    <x:t>폐수·탄소저감확인 및 TOC·수질분석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</x:si>
</x:sst>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%"/>
    <x:numFmt numFmtId="165" formatCode="#,##0"/>
    <x:numFmt numFmtId="166" formatCode="yyyy\-mm\-dd"/>
    <x:numFmt numFmtId="167" formatCode="0.00%"/>
    <x:numFmt numFmtId="168" formatCode="0"/>
  </x:numFmts>
  <x:fonts count="16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17365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17365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74e13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74e1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6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6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1f4e79"/>
        <x:bgColor indexed="64"/>
      </x:patternFill>
    </x:fill>
    <x:fill>
      <x:patternFill patternType="solid">
        <x:fgColor rgb="ffd9eaf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eadcf8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375623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595959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0">
    <x:xf numFmtId="0" fontId="0" fillId="0" borderId="0" xfId="1" applyNumberFormat="1">
      <x:alignment horizontal="general" vertical="bottom"/>
    </x:xf>
    <x:xf numFmtId="0" fontId="6" fillId="0" borderId="0" xfId="1" applyNumberFormat="1" applyFont="1">
      <x:alignment horizontal="general" vertical="bottom"/>
    </x:xf>
    <x:xf numFmtId="0" fontId="7" fillId="2" borderId="0" xfId="1" applyNumberFormat="1" applyFont="1" applyFill="1" applyBorder="1" applyAlignment="1">
      <x:alignment horizontal="general" vertical="bottom" wrapText="1"/>
    </x:xf>
    <x:xf numFmtId="0" fontId="8" fillId="2" borderId="0" xfId="1" applyNumberFormat="1" applyFont="1" applyFill="1" applyBorder="1" applyAlignment="1">
      <x:alignment horizontal="general" vertical="bottom" wrapText="1"/>
    </x:xf>
    <x:xf numFmtId="0" fontId="8" fillId="2" borderId="0" xfId="1" applyNumberFormat="1" applyFont="1" applyFill="1" applyBorder="1" applyAlignment="1">
      <x:alignment horizontal="general" vertical="bottom"/>
    </x:xf>
    <x:xf numFmtId="0" fontId="9" fillId="3" borderId="1" xfId="1" applyNumberFormat="1" applyFont="1" applyFill="1" applyBorder="1">
      <x:alignment horizontal="general" vertical="bottom"/>
    </x:xf>
    <x:xf numFmtId="0" fontId="10" fillId="4" borderId="1" xfId="1" applyNumberFormat="1" applyFont="1" applyFill="1" applyBorder="1">
      <x:alignment horizontal="general" vertical="bottom"/>
    </x:xf>
    <x:xf numFmtId="0" fontId="11" fillId="5" borderId="1" xfId="1" applyNumberFormat="1" applyFont="1" applyFill="1" applyBorder="1">
      <x:alignment horizontal="general" vertical="bottom"/>
    </x:xf>
    <x:xf numFmtId="0" fontId="6" fillId="0" borderId="1" xfId="1" applyNumberFormat="1" applyFont="1" applyFill="1" applyBorder="1">
      <x:alignment horizontal="general" vertical="bottom"/>
    </x:xf>
    <x:xf numFmtId="165" fontId="6" fillId="0" borderId="1" xfId="1" applyNumberFormat="1" applyFont="1" applyFill="1" applyBorder="1">
      <x:alignment horizontal="general" vertical="bottom"/>
    </x:xf>
    <x:xf numFmtId="164" fontId="6" fillId="0" borderId="1" xfId="1" applyNumberFormat="1" applyFont="1" applyFill="1" applyBorder="1">
      <x:alignment horizontal="general" vertical="bottom"/>
    </x:xf>
    <x:xf numFmtId="168" fontId="6" fillId="0" borderId="1" xfId="1" applyNumberFormat="1" applyFont="1" applyFill="1" applyBorder="1">
      <x:alignment horizontal="general" vertical="bottom"/>
    </x:xf>
    <x:xf numFmtId="0" fontId="12" fillId="6" borderId="1" xfId="1" applyNumberFormat="1" applyFont="1" applyFill="1" applyBorder="1">
      <x:alignment horizontal="general" vertical="bottom"/>
    </x:xf>
    <x:xf numFmtId="166" fontId="6" fillId="0" borderId="1" xfId="1" applyNumberFormat="1" applyFont="1" applyFill="1" applyBorder="1">
      <x:alignment horizontal="general" vertical="bottom"/>
    </x:xf>
    <x:xf numFmtId="0" fontId="13" fillId="2" borderId="0" xfId="1" applyNumberFormat="1" applyFont="1" applyFill="1" applyBorder="1" applyAlignment="1">
      <x:alignment horizontal="general" vertical="bottom" wrapText="1"/>
    </x:xf>
    <x:xf numFmtId="0" fontId="9" fillId="3" borderId="2" xfId="1" applyNumberFormat="1" applyFont="1" applyFill="1" applyBorder="1">
      <x:alignment horizontal="general" vertical="bottom"/>
    </x:xf>
    <x:xf numFmtId="0" fontId="6" fillId="4" borderId="2" xfId="1" applyNumberFormat="1" applyFont="1" applyFill="1" applyBorder="1">
      <x:alignment horizontal="general" vertical="bottom"/>
    </x:xf>
    <x:xf numFmtId="164" fontId="6" fillId="4" borderId="2" xfId="1" applyNumberFormat="1" applyFont="1" applyFill="1" applyBorder="1">
      <x:alignment horizontal="general" vertical="bottom"/>
    </x:xf>
    <x:xf numFmtId="165" fontId="6" fillId="4" borderId="2" xfId="1" applyNumberFormat="1" applyFont="1" applyFill="1" applyBorder="1">
      <x:alignment horizontal="general" vertical="bottom"/>
    </x:xf>
    <x:xf numFmtId="166" fontId="6" fillId="4" borderId="2" xfId="1" applyNumberFormat="1" applyFont="1" applyFill="1" applyBorder="1">
      <x:alignment horizontal="general" vertical="bottom"/>
    </x:xf>
    <x:xf numFmtId="0" fontId="6" fillId="7" borderId="2" xfId="1" applyNumberFormat="1" applyFont="1" applyFill="1" applyBorder="1">
      <x:alignment horizontal="general" vertical="bottom"/>
    </x:xf>
    <x:xf numFmtId="164" fontId="6" fillId="7" borderId="2" xfId="1" applyNumberFormat="1" applyFont="1" applyFill="1" applyBorder="1">
      <x:alignment horizontal="general" vertical="bottom"/>
    </x:xf>
    <x:xf numFmtId="165" fontId="6" fillId="7" borderId="2" xfId="1" applyNumberFormat="1" applyFont="1" applyFill="1" applyBorder="1">
      <x:alignment horizontal="general" vertical="bottom"/>
    </x:xf>
    <x:xf numFmtId="166" fontId="6" fillId="7" borderId="2" xfId="1" applyNumberFormat="1" applyFont="1" applyFill="1" applyBorder="1">
      <x:alignment horizontal="general" vertical="bottom"/>
    </x:xf>
    <x:xf numFmtId="0" fontId="6" fillId="8" borderId="2" xfId="1" applyNumberFormat="1" applyFont="1" applyFill="1" applyBorder="1">
      <x:alignment horizontal="general" vertical="bottom"/>
    </x:xf>
    <x:xf numFmtId="164" fontId="6" fillId="8" borderId="2" xfId="1" applyNumberFormat="1" applyFont="1" applyFill="1" applyBorder="1">
      <x:alignment horizontal="general" vertical="bottom"/>
    </x:xf>
    <x:xf numFmtId="165" fontId="6" fillId="8" borderId="2" xfId="1" applyNumberFormat="1" applyFont="1" applyFill="1" applyBorder="1">
      <x:alignment horizontal="general" vertical="bottom"/>
    </x:xf>
    <x:xf numFmtId="166" fontId="6" fillId="8" borderId="2" xfId="1" applyNumberFormat="1" applyFont="1" applyFill="1" applyBorder="1">
      <x:alignment horizontal="general" vertical="bottom"/>
    </x:xf>
    <x:xf numFmtId="0" fontId="6" fillId="5" borderId="2" xfId="1" applyNumberFormat="1" applyFont="1" applyFill="1" applyBorder="1">
      <x:alignment horizontal="general" vertical="bottom"/>
    </x:xf>
    <x:xf numFmtId="164" fontId="6" fillId="5" borderId="2" xfId="1" applyNumberFormat="1" applyFont="1" applyFill="1" applyBorder="1">
      <x:alignment horizontal="general" vertical="bottom"/>
    </x:xf>
    <x:xf numFmtId="165" fontId="6" fillId="5" borderId="2" xfId="1" applyNumberFormat="1" applyFont="1" applyFill="1" applyBorder="1">
      <x:alignment horizontal="general" vertical="bottom"/>
    </x:xf>
    <x:xf numFmtId="166" fontId="6" fillId="5" borderId="2" xfId="1" applyNumberFormat="1" applyFont="1" applyFill="1" applyBorder="1">
      <x:alignment horizontal="general" vertical="bottom"/>
    </x:xf>
    <x:xf numFmtId="0" fontId="6" fillId="9" borderId="2" xfId="1" applyNumberFormat="1" applyFont="1" applyFill="1" applyBorder="1">
      <x:alignment horizontal="general" vertical="bottom"/>
    </x:xf>
    <x:xf numFmtId="164" fontId="6" fillId="9" borderId="2" xfId="1" applyNumberFormat="1" applyFont="1" applyFill="1" applyBorder="1">
      <x:alignment horizontal="general" vertical="bottom"/>
    </x:xf>
    <x:xf numFmtId="165" fontId="6" fillId="9" borderId="2" xfId="1" applyNumberFormat="1" applyFont="1" applyFill="1" applyBorder="1">
      <x:alignment horizontal="general" vertical="bottom"/>
    </x:xf>
    <x:xf numFmtId="166" fontId="6" fillId="9" borderId="2" xfId="1" applyNumberFormat="1" applyFont="1" applyFill="1" applyBorder="1">
      <x:alignment horizontal="general" vertical="bottom"/>
    </x:xf>
    <x:xf numFmtId="0" fontId="6" fillId="6" borderId="2" xfId="1" applyNumberFormat="1" applyFont="1" applyFill="1" applyBorder="1">
      <x:alignment horizontal="general" vertical="bottom"/>
    </x:xf>
    <x:xf numFmtId="164" fontId="6" fillId="6" borderId="2" xfId="1" applyNumberFormat="1" applyFont="1" applyFill="1" applyBorder="1">
      <x:alignment horizontal="general" vertical="bottom"/>
    </x:xf>
    <x:xf numFmtId="165" fontId="6" fillId="6" borderId="2" xfId="1" applyNumberFormat="1" applyFont="1" applyFill="1" applyBorder="1">
      <x:alignment horizontal="general" vertical="bottom"/>
    </x:xf>
    <x:xf numFmtId="166" fontId="6" fillId="6" borderId="2" xfId="1" applyNumberFormat="1" applyFont="1" applyFill="1" applyBorder="1">
      <x:alignment horizontal="general" vertical="bottom"/>
    </x:xf>
    <x:xf numFmtId="0" fontId="6" fillId="0" borderId="2" xfId="1" applyNumberFormat="1" applyFont="1" applyFill="1" applyBorder="1">
      <x:alignment horizontal="general" vertical="bottom"/>
    </x:xf>
    <x:xf numFmtId="164" fontId="6" fillId="0" borderId="2" xfId="1" applyNumberFormat="1" applyFont="1" applyFill="1" applyBorder="1">
      <x:alignment horizontal="general" vertical="bottom"/>
    </x:xf>
    <x:xf numFmtId="165" fontId="6" fillId="0" borderId="2" xfId="1" applyNumberFormat="1" applyFont="1" applyFill="1" applyBorder="1">
      <x:alignment horizontal="general" vertical="bottom"/>
    </x:xf>
    <x:xf numFmtId="166" fontId="6" fillId="0" borderId="2" xfId="1" applyNumberFormat="1" applyFont="1" applyFill="1" applyBorder="1">
      <x:alignment horizontal="general" vertical="bottom"/>
    </x:xf>
    <x:xf numFmtId="0" fontId="13" fillId="10" borderId="0" xfId="1" applyNumberFormat="1" applyFont="1" applyFill="1" applyBorder="1" applyAlignment="1">
      <x:alignment horizontal="general" vertical="bottom" wrapText="1"/>
    </x:xf>
    <x:xf numFmtId="0" fontId="8" fillId="10" borderId="0" xfId="1" applyNumberFormat="1" applyFont="1" applyFill="1" applyBorder="1" applyAlignment="1">
      <x:alignment horizontal="general" vertical="bottom" wrapText="1"/>
    </x:xf>
    <x:xf numFmtId="0" fontId="8" fillId="10" borderId="0" xfId="1" applyNumberFormat="1" applyFont="1" applyFill="1" applyBorder="1" applyAlignment="1">
      <x:alignment horizontal="general" vertical="bottom"/>
    </x:xf>
    <x:xf numFmtId="0" fontId="10" fillId="4" borderId="3" xfId="1" applyNumberFormat="1" applyFont="1" applyFill="1" applyBorder="1">
      <x:alignment horizontal="general" vertical="bottom"/>
    </x:xf>
    <x:xf numFmtId="0" fontId="6" fillId="4" borderId="3" xfId="1" applyNumberFormat="1" applyFont="1" applyFill="1" applyBorder="1">
      <x:alignment horizontal="general" vertical="bottom"/>
    </x:xf>
    <x:xf numFmtId="166" fontId="6" fillId="4" borderId="3" xfId="1" applyNumberFormat="1" applyFont="1" applyFill="1" applyBorder="1">
      <x:alignment horizontal="general" vertical="bottom"/>
    </x:xf>
    <x:xf numFmtId="164" fontId="6" fillId="4" borderId="3" xfId="1" applyNumberFormat="1" applyFont="1" applyFill="1" applyBorder="1">
      <x:alignment horizontal="general" vertical="bottom"/>
    </x:xf>
    <x:xf numFmtId="0" fontId="6" fillId="7" borderId="3" xfId="1" applyNumberFormat="1" applyFont="1" applyFill="1" applyBorder="1">
      <x:alignment horizontal="general" vertical="bottom"/>
    </x:xf>
    <x:xf numFmtId="166" fontId="6" fillId="7" borderId="3" xfId="1" applyNumberFormat="1" applyFont="1" applyFill="1" applyBorder="1">
      <x:alignment horizontal="general" vertical="bottom"/>
    </x:xf>
    <x:xf numFmtId="164" fontId="6" fillId="7" borderId="3" xfId="1" applyNumberFormat="1" applyFont="1" applyFill="1" applyBorder="1">
      <x:alignment horizontal="general" vertical="bottom"/>
    </x:xf>
    <x:xf numFmtId="0" fontId="6" fillId="8" borderId="3" xfId="1" applyNumberFormat="1" applyFont="1" applyFill="1" applyBorder="1">
      <x:alignment horizontal="general" vertical="bottom"/>
    </x:xf>
    <x:xf numFmtId="166" fontId="6" fillId="8" borderId="3" xfId="1" applyNumberFormat="1" applyFont="1" applyFill="1" applyBorder="1">
      <x:alignment horizontal="general" vertical="bottom"/>
    </x:xf>
    <x:xf numFmtId="164" fontId="6" fillId="8" borderId="3" xfId="1" applyNumberFormat="1" applyFont="1" applyFill="1" applyBorder="1">
      <x:alignment horizontal="general" vertical="bottom"/>
    </x:xf>
    <x:xf numFmtId="0" fontId="6" fillId="5" borderId="3" xfId="1" applyNumberFormat="1" applyFont="1" applyFill="1" applyBorder="1">
      <x:alignment horizontal="general" vertical="bottom"/>
    </x:xf>
    <x:xf numFmtId="166" fontId="6" fillId="5" borderId="3" xfId="1" applyNumberFormat="1" applyFont="1" applyFill="1" applyBorder="1">
      <x:alignment horizontal="general" vertical="bottom"/>
    </x:xf>
    <x:xf numFmtId="164" fontId="6" fillId="5" borderId="3" xfId="1" applyNumberFormat="1" applyFont="1" applyFill="1" applyBorder="1">
      <x:alignment horizontal="general" vertical="bottom"/>
    </x:xf>
    <x:xf numFmtId="0" fontId="6" fillId="9" borderId="3" xfId="1" applyNumberFormat="1" applyFont="1" applyFill="1" applyBorder="1">
      <x:alignment horizontal="general" vertical="bottom"/>
    </x:xf>
    <x:xf numFmtId="166" fontId="6" fillId="9" borderId="3" xfId="1" applyNumberFormat="1" applyFont="1" applyFill="1" applyBorder="1">
      <x:alignment horizontal="general" vertical="bottom"/>
    </x:xf>
    <x:xf numFmtId="164" fontId="6" fillId="9" borderId="3" xfId="1" applyNumberFormat="1" applyFont="1" applyFill="1" applyBorder="1">
      <x:alignment horizontal="general" vertical="bottom"/>
    </x:xf>
    <x:xf numFmtId="0" fontId="6" fillId="6" borderId="3" xfId="1" applyNumberFormat="1" applyFont="1" applyFill="1" applyBorder="1">
      <x:alignment horizontal="general" vertical="bottom"/>
    </x:xf>
    <x:xf numFmtId="166" fontId="6" fillId="6" borderId="3" xfId="1" applyNumberFormat="1" applyFont="1" applyFill="1" applyBorder="1">
      <x:alignment horizontal="general" vertical="bottom"/>
    </x:xf>
    <x:xf numFmtId="164" fontId="6" fillId="6" borderId="3" xfId="1" applyNumberFormat="1" applyFont="1" applyFill="1" applyBorder="1">
      <x:alignment horizontal="general" vertical="bottom"/>
    </x:xf>
    <x:xf numFmtId="0" fontId="6" fillId="0" borderId="3" xfId="1" applyNumberFormat="1" applyFont="1" applyFill="1" applyBorder="1">
      <x:alignment horizontal="general" vertical="bottom"/>
    </x:xf>
    <x:xf numFmtId="166" fontId="6" fillId="0" borderId="3" xfId="1" applyNumberFormat="1" applyFont="1" applyFill="1" applyBorder="1">
      <x:alignment horizontal="general" vertical="bottom"/>
    </x:xf>
    <x:xf numFmtId="164" fontId="6" fillId="0" borderId="3" xfId="1" applyNumberFormat="1" applyFont="1" applyFill="1" applyBorder="1">
      <x:alignment horizontal="general" vertical="bottom"/>
    </x:xf>
    <x:xf numFmtId="167" fontId="6" fillId="0" borderId="1" xfId="1" applyNumberFormat="1" applyFont="1" applyFill="1" applyBorder="1">
      <x:alignment horizontal="general" vertical="bottom"/>
    </x:xf>
    <x:xf numFmtId="0" fontId="8" fillId="11" borderId="0" xfId="1" applyNumberFormat="1" applyFont="1" applyFill="1" applyBorder="1" applyAlignment="1">
      <x:alignment horizontal="general" vertical="bottom"/>
    </x:xf>
    <x:xf numFmtId="165" fontId="6" fillId="0" borderId="0" xfId="1" applyNumberFormat="1" applyFont="1" applyFill="1" applyBorder="1">
      <x:alignment horizontal="general" vertical="bottom"/>
    </x:xf>
    <x:xf numFmtId="166" fontId="6" fillId="0" borderId="0" xfId="1" applyNumberFormat="1" applyFont="1" applyFill="1" applyBorder="1">
      <x:alignment horizontal="general" vertical="bottom"/>
    </x:xf>
    <x:xf numFmtId="0" fontId="14" fillId="12" borderId="0" xfId="1" applyNumberFormat="1" applyFont="1" applyFill="1" applyBorder="1" applyAlignment="1">
      <x:alignment horizontal="general" vertical="bottom"/>
    </x:xf>
    <x:xf numFmtId="0" fontId="14" fillId="12" borderId="0" xfId="1" applyNumberFormat="1" applyFont="1" applyFill="1" applyBorder="1">
      <x:alignment horizontal="general" vertical="bottom"/>
    </x:xf>
    <x:xf numFmtId="0" fontId="15" fillId="6" borderId="4" xfId="1" applyNumberFormat="1" applyFont="1" applyFill="1" applyBorder="1">
      <x:alignment horizontal="general" vertical="bottom"/>
    </x:xf>
    <x:xf numFmtId="0" fontId="6" fillId="0" borderId="4" xfId="1" applyNumberFormat="1" applyFont="1" applyFill="1" applyBorder="1">
      <x:alignment horizontal="general" vertical="bottom"/>
    </x:xf>
    <x:xf numFmtId="0" fontId="15" fillId="3" borderId="4" xfId="1" applyNumberFormat="1" applyFont="1" applyFill="1" applyBorder="1">
      <x:alignment horizontal="general" vertical="bottom"/>
    </x:xf>
    <x:xf numFmtId="0" fontId="15" fillId="4" borderId="4" xfId="1" applyNumberFormat="1" applyFont="1" applyFill="1" applyBorder="1">
      <x:alignment horizontal="general" vertical="bottom"/>
    </x:xf>
    <x:xf numFmtId="0" fontId="15" fillId="5" borderId="4" xfId="1" applyNumberFormat="1" applyFont="1" applyFill="1" applyBorder="1">
      <x:alignment horizontal="general" vertical="bottom"/>
    </x:xf>
  </x:cellXfs>
  <x:cellStyles count="2">
    <x:cellStyle name="표준" xfId="0" builtinId="0" iLevel="0"/>
    <x:cellStyle name="Normal" xfId="1"/>
  </x:cellStyles>
  <x:dxfs count="47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f8cbad"/>
            </x:patternFill>
          </x:fill>
        </x:dxf>
      </mc:Choice>
      <mc:Fallback>
        <x:dxf>
          <x:font>
            <x:color rgb="ff9c0006"/>
          </x:font>
          <x:fill>
            <x:patternFill patternType="solid">
              <x:bgColor rgb="fff8cbad"/>
            </x:patternFill>
          </x:fill>
        </x:dxf>
      </mc:Fallback>
    </mc:AlternateContent>
    <x:dxf>
      <x:border>
        <x:left style="thin">
          <x:color rgb="ffd9e2f3"/>
        </x:left>
        <x:right style="thin">
          <x:color rgb="ffd9e2f3"/>
        </x:right>
        <x:top style="thin">
          <x:color rgb="ffd9e2f3"/>
        </x:top>
        <x:bottom style="thin">
          <x:color rgb="ffd9e2f3"/>
        </x:bottom>
      </x:border>
    </x:dxf>
    <x:dxf>
      <x:border>
        <x:horizontal style="thin">
          <x:color rgb="ffd9e2f3"/>
        </x:horizontal>
      </x:border>
    </x:dxf>
    <x:dxf>
      <x:border>
        <x:top style="thin">
          <x:color rgb="ffd9e2f3"/>
        </x:top>
        <x:bottom style="thin">
          <x:color rgb="ffd9e2f3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7365d"/>
            <x:b val="1"/>
            <hs:useFontSpace val="0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bottom style="thin">
              <x:color rgb="ffd9e2f3"/>
            </x:bottom>
            <x:vertical style="thin">
              <x:color rgb="ffd9e2f3"/>
            </x:vertical>
          </x:border>
        </x:dxf>
      </mc:Choice>
      <mc:Fallback>
        <x:dxf>
          <x:font>
            <x:color rgb="ff17365d"/>
            <x:b val="1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bottom style="thin">
              <x:color rgb="ffd9e2f3"/>
            </x:bottom>
            <x:vertical style="thin">
              <x:color rgb="ffd9e2f3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7365d"/>
            <x:b val="1"/>
            <hs:useFontSpace val="0"/>
          </x:font>
          <x:fill>
            <x:patternFill patternType="solid">
              <x:bgColor rgb="ffd9eaf7"/>
            </x:patternFill>
          </x:fill>
          <x:border>
            <x:right style="thin">
              <x:color rgb="ffd9e2f3"/>
            </x:right>
            <x:bottom style="thin">
              <x:color rgb="ffd9e2f3"/>
            </x:bottom>
          </x:border>
        </x:dxf>
      </mc:Choice>
      <mc:Fallback>
        <x:dxf>
          <x:font>
            <x:color rgb="ff17365d"/>
            <x:b val="1"/>
          </x:font>
          <x:fill>
            <x:patternFill patternType="solid">
              <x:bgColor rgb="ffd9eaf7"/>
            </x:patternFill>
          </x:fill>
          <x:border>
            <x:right style="thin">
              <x:color rgb="ffd9e2f3"/>
            </x:right>
            <x:bottom style="thin">
              <x:color rgb="ffd9e2f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7365d"/>
            <x:b val="1"/>
            <hs:useFontSpace val="0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right style="thin">
              <x:color rgb="ffd9e2f3"/>
            </x:right>
            <x:bottom style="thin">
              <x:color rgb="ffd9e2f3"/>
            </x:bottom>
          </x:border>
        </x:dxf>
      </mc:Choice>
      <mc:Fallback>
        <x:dxf>
          <x:font>
            <x:color rgb="ff17365d"/>
            <x:b val="1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right style="thin">
              <x:color rgb="ffd9e2f3"/>
            </x:right>
            <x:bottom style="thin">
              <x:color rgb="ffd9e2f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7365d"/>
            <x:b val="1"/>
            <hs:useFontSpace val="0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bottom style="thin">
              <x:color rgb="ffd9e2f3"/>
            </x:bottom>
          </x:border>
        </x:dxf>
      </mc:Choice>
      <mc:Fallback>
        <x:dxf>
          <x:font>
            <x:color rgb="ff17365d"/>
            <x:b val="1"/>
          </x:font>
          <x:fill>
            <x:patternFill patternType="solid">
              <x:bgColor rgb="ffd9eaf7"/>
            </x:patternFill>
          </x:fill>
          <x:border>
            <x:left style="thin">
              <x:color rgb="ffd9e2f3"/>
            </x:left>
            <x:bottom style="thin">
              <x:color rgb="ffd9e2f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bottom style="thin">
              <x:color rgb="ffd9e2f3"/>
            </x:bottom>
            <x:vertical style="thin">
              <x:color rgb="ffd9e2f3"/>
            </x:vertical>
            <x:horizontal style="thin">
              <x:color rgb="ffd9e2f3"/>
            </x:horizontal>
          </x:border>
        </x:dxf>
      </mc:Choice>
      <mc:Fallback>
        <x:dxf>
          <x:font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bottom style="thin">
              <x:color rgb="ffd9e2f3"/>
            </x:bottom>
            <x:vertical style="thin">
              <x:color rgb="ffd9e2f3"/>
            </x:vertical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border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13" formatCode="0%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numFmt numFmtId="13" formatCode="0%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3" formatCode="#,##0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numFmt numFmtId="3" formatCode="#,##0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4294967295" formatCode="yyyy\-mm\-dd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numFmt numFmtId="4294967295" formatCode="yyyy\-mm\-dd"/>
          <x:border>
            <x:left style="thin">
              <x:color rgb="ffd9e2f3"/>
            </x:left>
            <x:right style="thin">
              <x:color rgb="ffd9e2f3"/>
            </x:righ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2f3"/>
            </x:left>
            <x:top style="thin">
              <x:color rgb="ffd9e2f3"/>
            </x:top>
            <x:horizontal style="thin">
              <x:color rgb="ffd9e2f3"/>
            </x:horizontal>
          </x:border>
        </x:dxf>
      </mc:Choice>
      <mc:Fallback>
        <x:dxf>
          <x:font/>
          <x:border>
            <x:left style="thin">
              <x:color rgb="ffd9e2f3"/>
            </x:left>
            <x:top style="thin">
              <x:color rgb="ffd9e2f3"/>
            </x:top>
            <x:horizontal style="thin">
              <x:color rgb="ffd9e2f3"/>
            </x:horizontal>
          </x:border>
        </x:dxf>
      </mc:Fallback>
    </mc:AlternateContent>
    <x:dxf>
      <x:border>
        <x:left style="thin">
          <x:color rgb="ffd9ead3"/>
        </x:left>
        <x:right style="thin">
          <x:color rgb="ffd9ead3"/>
        </x:right>
        <x:top style="thin">
          <x:color rgb="ffd9ead3"/>
        </x:top>
        <x:bottom style="thin">
          <x:color rgb="ffd9ead3"/>
        </x:bottom>
      </x:border>
    </x:dxf>
    <x:dxf>
      <x:border>
        <x:horizontal style="thin">
          <x:color rgb="ffd9ead3"/>
        </x:horizontal>
      </x:border>
    </x:dxf>
    <x:dxf>
      <x:border>
        <x:top style="thin">
          <x:color rgb="ffd9ead3"/>
        </x:top>
        <x:bottom style="thin">
          <x:color rgb="ffd9ead3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x:b val="1"/>
            <hs:useFontSpace val="0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</x:border>
        </x:dxf>
      </mc:Choice>
      <mc:Fallback>
        <x:dxf>
          <x:font>
            <x:color rgb="ff274e13"/>
            <x:b val="1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x:b val="1"/>
            <hs:useFontSpace val="0"/>
          </x:font>
          <x:fill>
            <x:patternFill patternType="solid">
              <x:bgColor rgb="ffe2f0d9"/>
            </x:patternFill>
          </x:fill>
          <x:border>
            <x:right style="thin">
              <x:color rgb="ffd9ead3"/>
            </x:right>
            <x:bottom style="thin">
              <x:color rgb="ffd9ead3"/>
            </x:bottom>
          </x:border>
        </x:dxf>
      </mc:Choice>
      <mc:Fallback>
        <x:dxf>
          <x:font>
            <x:color rgb="ff274e13"/>
            <x:b val="1"/>
          </x:font>
          <x:fill>
            <x:patternFill patternType="solid">
              <x:bgColor rgb="ffe2f0d9"/>
            </x:patternFill>
          </x:fill>
          <x:border>
            <x:right style="thin">
              <x:color rgb="ffd9ead3"/>
            </x:right>
            <x:bottom style="thin">
              <x:color rgb="ffd9ead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x:b val="1"/>
            <hs:useFontSpace val="0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right style="thin">
              <x:color rgb="ffd9ead3"/>
            </x:right>
            <x:bottom style="thin">
              <x:color rgb="ffd9ead3"/>
            </x:bottom>
          </x:border>
        </x:dxf>
      </mc:Choice>
      <mc:Fallback>
        <x:dxf>
          <x:font>
            <x:color rgb="ff274e13"/>
            <x:b val="1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right style="thin">
              <x:color rgb="ffd9ead3"/>
            </x:right>
            <x:bottom style="thin">
              <x:color rgb="ffd9ead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274e13"/>
            <x:b val="1"/>
            <hs:useFontSpace val="0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bottom style="thin">
              <x:color rgb="ffd9ead3"/>
            </x:bottom>
          </x:border>
        </x:dxf>
      </mc:Choice>
      <mc:Fallback>
        <x:dxf>
          <x:font>
            <x:color rgb="ff274e13"/>
            <x:b val="1"/>
          </x:font>
          <x:fill>
            <x:patternFill patternType="solid">
              <x:bgColor rgb="ffe2f0d9"/>
            </x:patternFill>
          </x:fill>
          <x:border>
            <x:left style="thin">
              <x:color rgb="ffd9ead3"/>
            </x:left>
            <x:bottom style="thin">
              <x:color rgb="ffd9ead3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  <x:horizontal style="thin">
              <x:color rgb="ffd9ead3"/>
            </x:horizontal>
          </x:border>
        </x:dxf>
      </mc:Choice>
      <mc:Fallback>
        <x:dxf>
          <x:font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border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4294967295" formatCode="yyyy\-mm\-dd"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numFmt numFmtId="4294967295" formatCode="yyyy\-mm\-dd"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13" formatCode="0%"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numFmt numFmtId="13" formatCode="0%"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ad3"/>
            </x:lef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border>
            <x:left style="thin">
              <x:color rgb="ffd9ead3"/>
            </x:lef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  <x:horizontal style="thin">
              <x:color rgb="ffd9ead3"/>
            </x:horizontal>
          </x:border>
        </x:dxf>
      </mc:Choice>
      <mc:Fallback>
        <x:dxf>
          <x:font/>
          <x:border>
            <x:left style="thin">
              <x:color rgb="ffd9ead3"/>
            </x:left>
            <x:right style="thin">
              <x:color rgb="ffd9ead3"/>
            </x:right>
            <x:top style="thin">
              <x:color rgb="ffd9ead3"/>
            </x:top>
            <x:bottom style="thin">
              <x:color rgb="ffd9ead3"/>
            </x:bottom>
            <x:vertical style="thin">
              <x:color rgb="ffd9ead3"/>
            </x:vertical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4294967295" formatCode="yyyy\-mm\-dd"/>
          <x:border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Choice>
      <mc:Fallback>
        <x:dxf>
          <x:font/>
          <x:numFmt numFmtId="4294967295" formatCode="yyyy\-mm\-dd"/>
          <x:border>
            <x:right style="thin">
              <x:color rgb="ffd9ead3"/>
            </x:right>
            <x:top style="thin">
              <x:color rgb="ffd9ead3"/>
            </x:top>
            <x:horizontal style="thin">
              <x:color rgb="ffd9ead3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</x:dxf>
      </mc:Choice>
      <mc:Fallback>
        <x:dxf>
          <x:font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</x:dxf>
      </mc:Choice>
      <mc:Fallback>
        <x:dxf>
          <x:font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3" formatCode="#,##0"/>
        </x:dxf>
      </mc:Choice>
      <mc:Fallback>
        <x:dxf>
          <x:font/>
          <x:numFmt numFmtId="3" formatCode="#,##0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</x:dxf>
      </mc:Choice>
      <mc:Fallback>
        <x:dxf>
          <x:font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useFontSpace val="0"/>
          </x:font>
          <x:numFmt numFmtId="4294967295" formatCode="yyyy\-mm\-dd"/>
        </x:dxf>
      </mc:Choice>
      <mc:Fallback>
        <x:dxf>
          <x:font/>
          <x:numFmt numFmtId="4294967295" formatCode="yyyy\-mm\-dd"/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진행상태별 프로젝트 수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건수</c:v>
          </c:tx>
          <c:invertIfNegative val="0"/>
          <c:cat>
            <c:strRef>
              <c:f>대시보드!$D$5:$D$17</c:f>
              <c:strCache>
                <c:ptCount val="13"/>
                <c:pt idx="0">
                  <c:v>신규</c:v>
                </c:pt>
                <c:pt idx="1">
                  <c:v>선정완료</c:v>
                </c:pt>
                <c:pt idx="2">
                  <c:v>견적작성</c:v>
                </c:pt>
                <c:pt idx="3">
                  <c:v>제출완료</c:v>
                </c:pt>
                <c:pt idx="4">
                  <c:v>협의중</c:v>
                </c:pt>
                <c:pt idx="5">
                  <c:v>계약완료</c:v>
                </c:pt>
                <c:pt idx="6">
                  <c:v>발주완료</c:v>
                </c:pt>
                <c:pt idx="7">
                  <c:v>제작중</c:v>
                </c:pt>
                <c:pt idx="8">
                  <c:v>설치중</c:v>
                </c:pt>
                <c:pt idx="9">
                  <c:v>시운전</c:v>
                </c:pt>
                <c:pt idx="10">
                  <c:v>완료</c:v>
                </c:pt>
                <c:pt idx="11">
                  <c:v>보류</c:v>
                </c:pt>
                <c:pt idx="12">
                  <c:v>취소</c:v>
                </c:pt>
              </c:strCache>
            </c:strRef>
          </c:cat>
          <c:val>
            <c:numRef>
              <c:f>대시보드!$E$5:$E$17</c:f>
              <c:numCache>
                <c:formatCode>G/표준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dLbls>
          <c:delete val="0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/표준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2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/Relationships>
</file>

<file path=xl/drawings/drawing2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3</xdr:col>
      <xdr:colOff>0</xdr:colOff>
      <xdr:row>18</xdr:row>
      <xdr:rowOff>0</xdr:rowOff>
    </xdr:from>
    <xdr:to>
      <xdr:col>8</xdr:col>
      <xdr:colOff>0</xdr:colOff>
      <xdr:row>32</xdr:row>
      <xdr:rowOff>0</xdr:rowOff>
    </xdr:to>
    <xdr:graphicFrame fPublished="0">
      <xdr:nvGraphicFramePr>
        <xdr:cNvPr id="1" name="Chart"/>
        <xdr:cNvGraphicFramePr/>
      </xdr:nvGraphicFramePr>
      <xdr:xfrm>
        <a:off x="5038725" y="5848350"/>
        <a:ext cx="7200900" cy="44005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ProjectTable" displayName="ProjectTable" ref="A4:R49" headerRowDxfId="16" dataDxfId="20" headerRowBorderDxfId="15" tableBorderDxfId="13" totalsRowBorderDxfId="14">
  <x:tableColumns count="18">
    <x:tableColumn id="1" name="프로젝트ID" dataDxfId="21"/>
    <x:tableColumn id="2" name="사업 구분" dataDxfId="22"/>
    <x:tableColumn id="3" name="수요업체" dataDxfId="22"/>
    <x:tableColumn id="4" name="공급사" dataDxfId="22"/>
    <x:tableColumn id="5" name="프로젝트명" dataDxfId="22"/>
    <x:tableColumn id="6" name="단계" dataDxfId="22"/>
    <x:tableColumn id="7" name="진행상태" dataDxfId="22"/>
    <x:tableColumn id="8" name="진행률" dataDxfId="23"/>
    <x:tableColumn id="9" name="총액(원)" dataDxfId="24"/>
    <x:tableColumn id="10" name="선금 상태" dataDxfId="22"/>
    <x:tableColumn id="11" name="선금 처리일" dataDxfId="25"/>
    <x:tableColumn id="12" name="잔금 상태" dataDxfId="22"/>
    <x:tableColumn id="13" name="잔금 처리일" dataDxfId="25"/>
    <x:tableColumn id="14" name="다음 액션" dataDxfId="22"/>
    <x:tableColumn id="15" name="액션 마감일" dataDxfId="25"/>
    <x:tableColumn id="16" name="담당자" dataDxfId="22"/>
    <x:tableColumn id="17" name="연락처" dataDxfId="22"/>
    <x:tableColumn id="18" name="비고" dataDxfId="26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2" name="ProcessTable" displayName="ProcessTable" ref="A4:N49" headerRowDxfId="30" dataDxfId="34" headerRowBorderDxfId="29" tableBorderDxfId="27" totalsRowBorderDxfId="28">
  <x:tableColumns count="14">
    <x:tableColumn id="1" name="프로젝트ID" dataDxfId="35"/>
    <x:tableColumn id="2" name="사업 구분" dataDxfId="36"/>
    <x:tableColumn id="3" name="수요업체" dataDxfId="36"/>
    <x:tableColumn id="4" name="프로젝트명" dataDxfId="36"/>
    <x:tableColumn id="5" name="발주 완료일" dataDxfId="37"/>
    <x:tableColumn id="6" name="제작 완료일" dataDxfId="37"/>
    <x:tableColumn id="7" name="시험운전 완료일" dataDxfId="37"/>
    <x:tableColumn id="8" name="현장설치 시작일" dataDxfId="37"/>
    <x:tableColumn id="9" name="현장설치 완료일" dataDxfId="37"/>
    <x:tableColumn id="10" name="시운전 시작일" dataDxfId="37"/>
    <x:tableColumn id="11" name="시운전 완료일" dataDxfId="37"/>
    <x:tableColumn id="12" name="최종 완료일" dataDxfId="37"/>
    <x:tableColumn id="13" name="진행률" dataDxfId="38"/>
    <x:tableColumn id="14" name="다음 확인사항" dataDxfId="39"/>
  </x:tableColumns>
  <x:tableStyleInfo name="TableStyleMedium4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3" name="WorkLogTable" displayName="WorkLogTable" ref="A4:K84" headerRowDxfId="30" dataDxfId="40" headerRowBorderDxfId="29" tableBorderDxfId="27" totalsRowBorderDxfId="28">
  <x:tableColumns count="11">
    <x:tableColumn id="1" name="기록일" dataDxfId="41"/>
    <x:tableColumn id="2" name="프로젝트ID" dataDxfId="36"/>
    <x:tableColumn id="3" name="수요업체" dataDxfId="36"/>
    <x:tableColumn id="4" name="업무구분" dataDxfId="36"/>
    <x:tableColumn id="5" name="처리내용" dataDxfId="36"/>
    <x:tableColumn id="6" name="처리결과" dataDxfId="36"/>
    <x:tableColumn id="7" name="다음 액션" dataDxfId="36"/>
    <x:tableColumn id="8" name="다음 마감일" dataDxfId="37"/>
    <x:tableColumn id="9" name="담당자" dataDxfId="36"/>
    <x:tableColumn id="10" name="증빙/링크" dataDxfId="36"/>
    <x:tableColumn id="11" name="메모" dataDxfId="39"/>
  </x:tableColumns>
  <x:tableStyleInfo name="TableStyleMedium4" showFirstColumn="0" showLastColumn="0" showRowStripes="1" showColumnStripes="0"/>
</x:table>
</file>

<file path=xl/tables/table4.xml><?xml version="1.0" encoding="utf-8"?>
<x:table xmlns:r="http://schemas.openxmlformats.org/officeDocument/2006/relationships" xmlns:c="http://schemas.openxmlformats.org/drawingml/2006/chart" xmlns:x="http://schemas.openxmlformats.org/spreadsheetml/2006/main" id="4" name="PartnershipUsePlanTable" displayName="PartnershipUsePlanTable" ref="A17:K30" headerRowDxfId="42" dataDxfId="43">
  <x:tableColumns count="11">
    <x:tableColumn id="1" name="비목" dataDxfId="42"/>
    <x:tableColumn id="2" name="세목" dataDxfId="42"/>
    <x:tableColumn id="3" name="세부내역" dataDxfId="42"/>
    <x:tableColumn id="4" name="산출근거" dataDxfId="42"/>
    <x:tableColumn id="5" name="금액(원)" dataDxfId="44"/>
    <x:tableColumn id="6" name="계약구분" dataDxfId="42"/>
    <x:tableColumn id="7" name="나라장터 품목/규격" dataDxfId="42"/>
    <x:tableColumn id="8" name="입찰상태" dataDxfId="42"/>
    <x:tableColumn id="9" name="계약번호" dataDxfId="42"/>
    <x:tableColumn id="10" name="검수상태" dataDxfId="42"/>
    <x:tableColumn id="11" name="비고" dataDxfId="42"/>
  </x:tableColumns>
  <x:tableStyleInfo name="TableStyleMedium9" showFirstColumn="0" showLastColumn="0" showRowStripes="1" showColumnStripes="0"/>
</x:table>
</file>

<file path=xl/tables/table5.xml><?xml version="1.0" encoding="utf-8"?>
<x:table xmlns:r="http://schemas.openxmlformats.org/officeDocument/2006/relationships" xmlns:c="http://schemas.openxmlformats.org/drawingml/2006/chart" xmlns:x="http://schemas.openxmlformats.org/spreadsheetml/2006/main" id="5" name="PartnershipBidTable" displayName="PartnershipBidTable" ref="A35:K46" headerRowDxfId="42" dataDxfId="45">
  <x:tableColumns count="11">
    <x:tableColumn id="1" name="순서" dataDxfId="42"/>
    <x:tableColumn id="2" name="단계" dataDxfId="42"/>
    <x:tableColumn id="3" name="주요 확인사항" dataDxfId="42"/>
    <x:tableColumn id="4" name="담당/대상" dataDxfId="42"/>
    <x:tableColumn id="5" name="예정일" dataDxfId="46"/>
    <x:tableColumn id="6" name="완료일" dataDxfId="46"/>
    <x:tableColumn id="7" name="상태" dataDxfId="42"/>
    <x:tableColumn id="8" name="관련문서" dataDxfId="42"/>
    <x:tableColumn id="9" name="계약/공고번호" dataDxfId="42"/>
    <x:tableColumn id="10" name="금액(원)" dataDxfId="44"/>
    <x:tableColumn id="11" name="비고" dataDxfId="42"/>
  </x:tableColumns>
  <x:tableStyleInfo name="TableStyleMedium4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2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table" Target="../tables/table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table" Target="../tables/table3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table" Target="../tables/table4.xml"  /><Relationship Id="rId2" Type="http://schemas.openxmlformats.org/officeDocument/2006/relationships/table" Target="../tables/table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8"/>
  <x:sheetViews>
    <x:sheetView showGridLines="0" topLeftCell="A1" zoomScaleNormal="75" zoomScaleSheetLayoutView="100" workbookViewId="0">
      <x:selection activeCell="A1" activeCellId="0" sqref="A1:H1"/>
    </x:sheetView>
  </x:sheetViews>
  <x:sheetFormatPr defaultColWidth="8.72265625" defaultRowHeight="16.39999999999999857891"/>
  <x:cols>
    <x:col min="1" max="1" width="18.75" style="1" customWidth="1"/>
    <x:col min="2" max="2" width="16.25" style="1" customWidth="1"/>
    <x:col min="3" max="3" width="13.12890625" style="1" customWidth="1"/>
    <x:col min="4" max="5" width="15" style="1" customWidth="1"/>
    <x:col min="6" max="6" width="8.72265625" style="1"/>
    <x:col min="7" max="8" width="15" style="1" customWidth="1"/>
    <x:col min="9" max="16384" width="8.72265625" style="1"/>
  </x:cols>
  <x:sheetData>
    <x:row r="1" spans="1:8" ht="26.35000000000000142109">
      <x:c r="A1" s="2" t="s">
        <x:v>127</x:v>
      </x:c>
      <x:c r="B1" s="3"/>
      <x:c r="C1" s="3"/>
      <x:c r="D1" s="3"/>
      <x:c r="E1" s="3"/>
      <x:c r="F1" s="3"/>
      <x:c r="G1" s="3"/>
      <x:c r="H1" s="3"/>
    </x:row>
    <x:row r="2" spans="1:8">
      <x:c r="A2" s="4" t="s">
        <x:v>139</x:v>
      </x:c>
      <x:c r="B2" s="4"/>
      <x:c r="C2" s="4"/>
      <x:c r="D2" s="4"/>
      <x:c r="E2" s="4"/>
      <x:c r="F2" s="4"/>
      <x:c r="G2" s="4"/>
      <x:c r="H2" s="4"/>
    </x:row>
    <x:row r="4" spans="1:8">
      <x:c r="A4" s="5" t="s">
        <x:v>91</x:v>
      </x:c>
      <x:c r="B4" s="5" t="s">
        <x:v>32</x:v>
      </x:c>
      <x:c r="D4" s="6" t="s">
        <x:v>92</x:v>
      </x:c>
      <x:c r="E4" s="6" t="s">
        <x:v>27</x:v>
      </x:c>
      <x:c r="G4" s="7" t="s">
        <x:v>28</x:v>
      </x:c>
      <x:c r="H4" s="7" t="s">
        <x:v>27</x:v>
      </x:c>
    </x:row>
    <x:row r="5" spans="1:8">
      <x:c r="A5" s="8" t="s">
        <x:v>144</x:v>
      </x:c>
      <x:c r="B5" s="8">
        <x:f>COUNTA(프로젝트관리!$A$5:$A$49)</x:f>
        <x:v>13</x:v>
      </x:c>
      <x:c r="D5" s="8" t="s">
        <x:v>30</x:v>
      </x:c>
      <x:c r="E5" s="8">
        <x:f>COUNTIF(프로젝트관리!$G$5:$G$49,D5)</x:f>
        <x:v>1</x:v>
      </x:c>
      <x:c r="G5" s="8" t="s">
        <x:v>31</x:v>
      </x:c>
      <x:c r="H5" s="8">
        <x:f>COUNTIF(프로젝트관리!$F$5:$F$49,G5)</x:f>
        <x:v>1</x:v>
      </x:c>
    </x:row>
    <x:row r="6" spans="1:8">
      <x:c r="A6" s="8" t="s">
        <x:v>145</x:v>
      </x:c>
      <x:c r="B6" s="8">
        <x:f>B5-B7</x:f>
        <x:v>12</x:v>
      </x:c>
      <x:c r="D6" s="8" t="s">
        <x:v>95</x:v>
      </x:c>
      <x:c r="E6" s="8">
        <x:f>COUNTIF(프로젝트관리!$G$5:$G$49,D6)</x:f>
        <x:v>5</x:v>
      </x:c>
      <x:c r="G6" s="8" t="s">
        <x:v>25</x:v>
      </x:c>
      <x:c r="H6" s="8">
        <x:f>COUNTIF(프로젝트관리!$F$5:$F$49,G6)</x:f>
        <x:v>5</x:v>
      </x:c>
    </x:row>
    <x:row r="7" spans="1:8">
      <x:c r="A7" s="8" t="s">
        <x:v>103</x:v>
      </x:c>
      <x:c r="B7" s="8">
        <x:f>COUNTIF(프로젝트관리!$F$5:$F$49,"후보")</x:f>
        <x:v>1</x:v>
      </x:c>
      <x:c r="D7" s="8" t="s">
        <x:v>97</x:v>
      </x:c>
      <x:c r="E7" s="8">
        <x:f>COUNTIF(프로젝트관리!$G$5:$G$49,D7)</x:f>
        <x:v>7</x:v>
      </x:c>
      <x:c r="G7" s="8" t="s">
        <x:v>33</x:v>
      </x:c>
      <x:c r="H7" s="8">
        <x:f>COUNTIF(프로젝트관리!$F$5:$F$49,G7)</x:f>
        <x:v>7</x:v>
      </x:c>
    </x:row>
    <x:row r="8" spans="1:8">
      <x:c r="A8" s="8" t="s">
        <x:v>146</x:v>
      </x:c>
      <x:c r="B8" s="8">
        <x:f>COUNTIF(프로젝트관리!$G$5:$G$49,"선정완료")</x:f>
        <x:v>5</x:v>
      </x:c>
      <x:c r="D8" s="8" t="s">
        <x:v>93</x:v>
      </x:c>
      <x:c r="E8" s="8">
        <x:f>COUNTIF(프로젝트관리!$G$5:$G$49,D8)</x:f>
        <x:v>0</x:v>
      </x:c>
      <x:c r="G8" s="8" t="s">
        <x:v>44</x:v>
      </x:c>
      <x:c r="H8" s="8">
        <x:f>COUNTIF(프로젝트관리!$F$5:$F$49,G8)</x:f>
        <x:v>0</x:v>
      </x:c>
    </x:row>
    <x:row r="9" spans="1:8">
      <x:c r="A9" s="8" t="s">
        <x:v>37</x:v>
      </x:c>
      <x:c r="B9" s="9">
        <x:f>SUM(프로젝트관리!$I$5:$I$49)</x:f>
        <x:v>2749099800</x:v>
      </x:c>
      <x:c r="D9" s="8" t="s">
        <x:v>39</x:v>
      </x:c>
      <x:c r="E9" s="8">
        <x:f>COUNTIF(프로젝트관리!$G$5:$G$49,D9)</x:f>
        <x:v>0</x:v>
      </x:c>
      <x:c r="G9" s="8" t="s">
        <x:v>45</x:v>
      </x:c>
      <x:c r="H9" s="8">
        <x:f>COUNTIF(프로젝트관리!$F$5:$F$49,G9)</x:f>
        <x:v>0</x:v>
      </x:c>
    </x:row>
    <x:row r="10" spans="1:8">
      <x:c r="A10" s="8" t="s">
        <x:v>94</x:v>
      </x:c>
      <x:c r="B10" s="10">
        <x:f>AVERAGEIF(프로젝트관리!$A$5:$A$49,"&lt;&gt;",프로젝트관리!$H$5:$H$49)</x:f>
        <x:v>0</x:v>
      </x:c>
      <x:c r="D10" s="8" t="s">
        <x:v>109</x:v>
      </x:c>
      <x:c r="E10" s="8">
        <x:f>COUNTIF(프로젝트관리!$G$5:$G$49,D10)</x:f>
        <x:v>0</x:v>
      </x:c>
      <x:c r="G10" s="8" t="s">
        <x:v>46</x:v>
      </x:c>
      <x:c r="H10" s="8">
        <x:f>COUNTIF(프로젝트관리!$F$5:$F$49,G10)</x:f>
        <x:v>0</x:v>
      </x:c>
    </x:row>
    <x:row r="11" spans="1:5">
      <x:c r="A11" s="8" t="s">
        <x:v>147</x:v>
      </x:c>
      <x:c r="B11" s="11" t="str">
        <x:f ca="1">TEXT(COUNTIFS(프로젝트관리!$O$5:$O$49,"&lt;"&amp;TODAY(),프로젝트관리!$O$5:$O$49,"&lt;&gt;",프로젝트관리!$G$5:$G$49,"&lt;&gt;완료"),"0")</x:f>
        <x:v>0</x:v>
      </x:c>
      <x:c r="D11" s="8" t="s">
        <x:v>99</x:v>
      </x:c>
      <x:c r="E11" s="8">
        <x:f>COUNTIF(프로젝트관리!$G$5:$G$49,D11)</x:f>
        <x:v>0</x:v>
      </x:c>
    </x:row>
    <x:row r="12" spans="4:5">
      <x:c r="D12" s="8" t="s">
        <x:v>42</x:v>
      </x:c>
      <x:c r="E12" s="8">
        <x:f>COUNTIF(프로젝트관리!$G$5:$G$49,D12)</x:f>
        <x:v>0</x:v>
      </x:c>
    </x:row>
    <x:row r="13" spans="1:5">
      <x:c r="A13" s="12" t="s">
        <x:v>148</x:v>
      </x:c>
      <x:c r="B13" s="12" t="s">
        <x:v>38</x:v>
      </x:c>
      <x:c r="C13" s="12" t="s">
        <x:v>107</x:v>
      </x:c>
      <x:c r="D13" s="8" t="s">
        <x:v>35</x:v>
      </x:c>
      <x:c r="E13" s="8">
        <x:f>COUNTIF(프로젝트관리!$G$5:$G$49,D13)</x:f>
        <x:v>0</x:v>
      </x:c>
    </x:row>
    <x:row r="14" spans="1:5">
      <x:c r="A14" s="8" t="str">
        <x:f>IF(프로젝트관리!A5="","",프로젝트관리!N5)</x:f>
        <x:v>선정 후 계약/발주 일정 확인</x:v>
      </x:c>
      <x:c r="B14" s="8" t="str">
        <x:f>IF(프로젝트관리!A5="","",프로젝트관리!C5)</x:f>
        <x:v>(주)부성티에프시 대구공장</x:v>
      </x:c>
      <x:c r="C14" s="13"/>
      <x:c r="D14" s="8" t="s">
        <x:v>41</x:v>
      </x:c>
      <x:c r="E14" s="8">
        <x:f>COUNTIF(프로젝트관리!$G$5:$G$49,D14)</x:f>
        <x:v>0</x:v>
      </x:c>
    </x:row>
    <x:row r="15" spans="1:5">
      <x:c r="A15" s="8" t="str">
        <x:f>IF(프로젝트관리!A6="","",프로젝트관리!N6)</x:f>
        <x:v>선정 후 계약/발주 일정 확인</x:v>
      </x:c>
      <x:c r="B15" s="8" t="str">
        <x:f>IF(프로젝트관리!A6="","",프로젝트관리!C6)</x:f>
        <x:v>(주)통합</x:v>
      </x:c>
      <x:c r="C15" s="13"/>
      <x:c r="D15" s="8" t="s">
        <x:v>46</x:v>
      </x:c>
      <x:c r="E15" s="8">
        <x:f>COUNTIF(프로젝트관리!$G$5:$G$49,D15)</x:f>
        <x:v>0</x:v>
      </x:c>
    </x:row>
    <x:row r="16" spans="1:5">
      <x:c r="A16" s="8" t="str">
        <x:f>IF(프로젝트관리!A7="","",프로젝트관리!N7)</x:f>
        <x:v>선정 후 계약/발주 일정 확인</x:v>
      </x:c>
      <x:c r="B16" s="8" t="str">
        <x:f>IF(프로젝트관리!A7="","",프로젝트관리!C7)</x:f>
        <x:v>원풍물산(주)</x:v>
      </x:c>
      <x:c r="C16" s="13"/>
      <x:c r="D16" s="8" t="s">
        <x:v>43</x:v>
      </x:c>
      <x:c r="E16" s="8">
        <x:f>COUNTIF(프로젝트관리!$G$5:$G$49,D16)</x:f>
        <x:v>0</x:v>
      </x:c>
    </x:row>
    <x:row r="17" spans="1:5">
      <x:c r="A17" s="8" t="str">
        <x:f>IF(프로젝트관리!A8="","",프로젝트관리!N8)</x:f>
        <x:v>나라장터 물품 입찰/계약 일정 등록</x:v>
      </x:c>
      <x:c r="B17" s="8" t="str">
        <x:f>IF(프로젝트관리!A8="","",프로젝트관리!C8)</x:f>
        <x:v>대영염공(주)</x:v>
      </x:c>
      <x:c r="C17" s="13"/>
      <x:c r="D17" s="8" t="s">
        <x:v>36</x:v>
      </x:c>
      <x:c r="E17" s="8">
        <x:f>COUNTIF(프로젝트관리!$G$5:$G$49,D17)</x:f>
        <x:v>0</x:v>
      </x:c>
    </x:row>
    <x:row r="18" spans="1:3">
      <x:c r="A18" s="8" t="str">
        <x:f>IF(프로젝트관리!A9="","",프로젝트관리!N9)</x:f>
        <x:v>견적/사업 진행 상태 확인</x:v>
      </x:c>
      <x:c r="B18" s="8" t="str">
        <x:f>IF(프로젝트관리!A9="","",프로젝트관리!C9)</x:f>
        <x:v>대영염공(주)</x:v>
      </x:c>
      <x:c r="C18" s="13"/>
    </x:row>
    <x:row r="19" spans="1:3">
      <x:c r="A19" s="8" t="str">
        <x:f>IF(프로젝트관리!A10="","",프로젝트관리!N10)</x:f>
        <x:v>견적/사업 진행 상태 확인</x:v>
      </x:c>
      <x:c r="B19" s="8" t="str">
        <x:f>IF(프로젝트관리!A10="","",프로젝트관리!C10)</x:f>
        <x:v>벽진BIO텍</x:v>
      </x:c>
      <x:c r="C19" s="13"/>
    </x:row>
    <x:row r="20" spans="1:3">
      <x:c r="A20" s="8" t="str">
        <x:f>IF(프로젝트관리!A11="","",프로젝트관리!N11)</x:f>
        <x:v>견적/사업 진행 상태 확인</x:v>
      </x:c>
      <x:c r="B20" s="8" t="str">
        <x:f>IF(프로젝트관리!A11="","",프로젝트관리!C11)</x:f>
        <x:v>(주)을화 비산공장</x:v>
      </x:c>
      <x:c r="C20" s="13"/>
    </x:row>
    <x:row r="21" spans="1:3">
      <x:c r="A21" s="8" t="str">
        <x:f>IF(프로젝트관리!A12="","",프로젝트관리!N12)</x:f>
        <x:v>견적/사업 진행 상태 확인</x:v>
      </x:c>
      <x:c r="B21" s="8" t="str">
        <x:f>IF(프로젝트관리!A12="","",프로젝트관리!C12)</x:f>
        <x:v>(주)을화 비산공장</x:v>
      </x:c>
      <x:c r="C21" s="13"/>
    </x:row>
    <x:row r="22" spans="1:3">
      <x:c r="A22" s="8" t="str">
        <x:f>IF(프로젝트관리!A13="","",프로젝트관리!N13)</x:f>
        <x:v>견적/사업 진행 상태 확인</x:v>
      </x:c>
      <x:c r="B22" s="8" t="str">
        <x:f>IF(프로젝트관리!A13="","",프로젝트관리!C13)</x:f>
        <x:v>신한염직</x:v>
      </x:c>
      <x:c r="C22" s="13"/>
    </x:row>
    <x:row r="23" spans="1:3">
      <x:c r="A23" s="8" t="str">
        <x:f>IF(프로젝트관리!A14="","",프로젝트관리!N14)</x:f>
        <x:v>견적/사업 진행 상태 확인</x:v>
      </x:c>
      <x:c r="B23" s="8" t="str">
        <x:f>IF(프로젝트관리!A14="","",프로젝트관리!C14)</x:f>
        <x:v>원풍물산</x:v>
      </x:c>
      <x:c r="C23" s="13"/>
    </x:row>
    <x:row r="24" spans="1:3">
      <x:c r="A24" s="8" t="str">
        <x:f>IF(프로젝트관리!A15="","",프로젝트관리!N15)</x:f>
        <x:v>견적/사업 진행 상태 확인</x:v>
      </x:c>
      <x:c r="B24" s="8" t="str">
        <x:f>IF(프로젝트관리!A15="","",프로젝트관리!C15)</x:f>
        <x:v>한국에이스</x:v>
      </x:c>
      <x:c r="C24" s="13"/>
    </x:row>
    <x:row r="25" spans="1:3">
      <x:c r="A25" s="8" t="str">
        <x:f>IF(프로젝트관리!A16="","",프로젝트관리!N16)</x:f>
        <x:v>사업 구분/수요업체/견적금액 입력</x:v>
      </x:c>
      <x:c r="B25" s="8" t="str">
        <x:f>IF(프로젝트관리!A16="","",프로젝트관리!C16)</x:f>
        <x:v>신규 수요업체명 입력</x:v>
      </x:c>
      <x:c r="C25" s="13"/>
    </x:row>
    <x:row r="26" spans="1:3">
      <x:c r="A26" s="8" t="str">
        <x:f>IF(프로젝트관리!A17="","",프로젝트관리!N17)</x:f>
        <x:v>선정 후 계약/발주 일정 확인</x:v>
      </x:c>
      <x:c r="B26" s="8" t="str">
        <x:f>IF(프로젝트관리!A17="","",프로젝트관리!C17)</x:f>
        <x:v>(주)을화 비산공장</x:v>
      </x:c>
      <x:c r="C26" s="13"/>
    </x:row>
    <x:row r="27" spans="1:3">
      <x:c r="A27" s="8" t="str">
        <x:f>IF(프로젝트관리!A18="","",프로젝트관리!N18)</x:f>
        <x:v/>
      </x:c>
      <x:c r="B27" s="8" t="str">
        <x:f>IF(프로젝트관리!A18="","",프로젝트관리!C18)</x:f>
        <x:v/>
      </x:c>
      <x:c r="C27" s="13"/>
    </x:row>
    <x:row r="28" spans="1:3">
      <x:c r="A28" s="8" t="str">
        <x:f>IF(프로젝트관리!A19="","",프로젝트관리!N19)</x:f>
        <x:v/>
      </x:c>
      <x:c r="B28" s="8" t="str">
        <x:f>IF(프로젝트관리!A19="","",프로젝트관리!C19)</x:f>
        <x:v/>
      </x:c>
      <x:c r="C28" s="13"/>
    </x:row>
  </x:sheetData>
  <x:mergeCells count="2">
    <x:mergeCell ref="A1:H1"/>
    <x:mergeCell ref="A2:H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R49"/>
  <x:sheetViews>
    <x:sheetView showGridLines="0" tabSelected="1" topLeftCell="M1" zoomScaleNormal="75" zoomScaleSheetLayoutView="100" workbookViewId="0">
      <x:selection activeCell="E3" activeCellId="0" sqref="E1:E1048576"/>
    </x:sheetView>
  </x:sheetViews>
  <x:sheetFormatPr defaultColWidth="8.72265625" defaultRowHeight="16.39999999999999857891"/>
  <x:cols>
    <x:col min="1" max="1" width="10.62890625" style="1" customWidth="1"/>
    <x:col min="2" max="2" width="31.18359375" style="1" customWidth="1"/>
    <x:col min="3" max="3" width="28.546875" style="1" customWidth="1"/>
    <x:col min="4" max="4" width="16.25" style="1" customWidth="1"/>
    <x:col min="5" max="5" width="61" style="1" customWidth="1"/>
    <x:col min="6" max="8" width="11.25" style="1" customWidth="1"/>
    <x:col min="9" max="9" width="15" style="1" customWidth="1"/>
    <x:col min="10" max="13" width="13.75" style="1" customWidth="1"/>
    <x:col min="14" max="15" width="23.75" style="1" customWidth="1"/>
    <x:col min="16" max="17" width="12.5" style="1" customWidth="1"/>
    <x:col min="18" max="18" width="31.25" style="1" customWidth="1"/>
    <x:col min="19" max="16384" width="8.72265625" style="1"/>
  </x:cols>
  <x:sheetData>
    <x:row r="1" spans="1:18" ht="23.5">
      <x:c r="A1" s="14" t="s">
        <x:v>151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spans="1:18">
      <x:c r="A2" s="4" t="s">
        <x:v>168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4" spans="1:18">
      <x:c r="A4" s="15" t="s">
        <x:v>86</x:v>
      </x:c>
      <x:c r="B4" s="15" t="s">
        <x:v>88</x:v>
      </x:c>
      <x:c r="C4" s="15" t="s">
        <x:v>87</x:v>
      </x:c>
      <x:c r="D4" s="15" t="s">
        <x:v>51</x:v>
      </x:c>
      <x:c r="E4" s="15" t="s">
        <x:v>89</x:v>
      </x:c>
      <x:c r="F4" s="15" t="s">
        <x:v>28</x:v>
      </x:c>
      <x:c r="G4" s="15" t="s">
        <x:v>92</x:v>
      </x:c>
      <x:c r="H4" s="15" t="s">
        <x:v>49</x:v>
      </x:c>
      <x:c r="I4" s="15" t="s">
        <x:v>90</x:v>
      </x:c>
      <x:c r="J4" s="15" t="s">
        <x:v>105</x:v>
      </x:c>
      <x:c r="K4" s="15" t="s">
        <x:v>100</x:v>
      </x:c>
      <x:c r="L4" s="15" t="s">
        <x:v>108</x:v>
      </x:c>
      <x:c r="M4" s="15" t="s">
        <x:v>101</x:v>
      </x:c>
      <x:c r="N4" s="15" t="s">
        <x:v>106</x:v>
      </x:c>
      <x:c r="O4" s="15" t="s">
        <x:v>107</x:v>
      </x:c>
      <x:c r="P4" s="15" t="s">
        <x:v>50</x:v>
      </x:c>
      <x:c r="Q4" s="15" t="s">
        <x:v>48</x:v>
      </x:c>
      <x:c r="R4" s="15" t="s">
        <x:v>47</x:v>
      </x:c>
    </x:row>
    <x:row r="5" spans="1:18">
      <x:c r="A5" s="16" t="s">
        <x:v>180</x:v>
      </x:c>
      <x:c r="B5" s="16" t="s">
        <x:v>179</x:v>
      </x:c>
      <x:c r="C5" s="16" t="s">
        <x:v>12</x:v>
      </x:c>
      <x:c r="D5" s="16" t="s">
        <x:v>181</x:v>
      </x:c>
      <x:c r="E5" s="16" t="s">
        <x:v>2</x:v>
      </x:c>
      <x:c r="F5" s="16" t="s">
        <x:v>25</x:v>
      </x:c>
      <x:c r="G5" s="16" t="s">
        <x:v>95</x:v>
      </x:c>
      <x:c r="H5" s="17">
        <x:f>IF(A5="","",공정진행관리!M5)</x:f>
        <x:v>0</x:v>
      </x:c>
      <x:c r="I5" s="18">
        <x:v>62700000</x:v>
      </x:c>
      <x:c r="J5" s="16" t="s">
        <x:v>29</x:v>
      </x:c>
      <x:c r="K5" s="19"/>
      <x:c r="L5" s="16" t="s">
        <x:v>29</x:v>
      </x:c>
      <x:c r="M5" s="19"/>
      <x:c r="N5" s="16" t="s">
        <x:v>120</x:v>
      </x:c>
      <x:c r="O5" s="19"/>
      <x:c r="P5" s="16" t="s">
        <x:v>34</x:v>
      </x:c>
      <x:c r="Q5" s="16" t="s">
        <x:v>4</x:v>
      </x:c>
      <x:c r="R5" s="16" t="s">
        <x:v>135</x:v>
      </x:c>
    </x:row>
    <x:row r="6" spans="1:18">
      <x:c r="A6" s="16" t="s">
        <x:v>183</x:v>
      </x:c>
      <x:c r="B6" s="16" t="s">
        <x:v>179</x:v>
      </x:c>
      <x:c r="C6" s="16" t="s">
        <x:v>110</x:v>
      </x:c>
      <x:c r="D6" s="16" t="s">
        <x:v>181</x:v>
      </x:c>
      <x:c r="E6" s="16" t="s">
        <x:v>119</x:v>
      </x:c>
      <x:c r="F6" s="16" t="s">
        <x:v>25</x:v>
      </x:c>
      <x:c r="G6" s="16" t="s">
        <x:v>95</x:v>
      </x:c>
      <x:c r="H6" s="17">
        <x:f>IF(A6="","",공정진행관리!M6)</x:f>
        <x:v>0</x:v>
      </x:c>
      <x:c r="I6" s="18">
        <x:v>157300000</x:v>
      </x:c>
      <x:c r="J6" s="16" t="s">
        <x:v>29</x:v>
      </x:c>
      <x:c r="K6" s="19"/>
      <x:c r="L6" s="16" t="s">
        <x:v>29</x:v>
      </x:c>
      <x:c r="M6" s="19"/>
      <x:c r="N6" s="16" t="s">
        <x:v>120</x:v>
      </x:c>
      <x:c r="O6" s="19"/>
      <x:c r="P6" s="16" t="s">
        <x:v>34</x:v>
      </x:c>
      <x:c r="Q6" s="16" t="s">
        <x:v>4</x:v>
      </x:c>
      <x:c r="R6" s="16" t="s">
        <x:v>133</x:v>
      </x:c>
    </x:row>
    <x:row r="7" spans="1:18">
      <x:c r="A7" s="16" t="s">
        <x:v>182</x:v>
      </x:c>
      <x:c r="B7" s="16" t="s">
        <x:v>179</x:v>
      </x:c>
      <x:c r="C7" s="16" t="s">
        <x:v>104</x:v>
      </x:c>
      <x:c r="D7" s="16" t="s">
        <x:v>181</x:v>
      </x:c>
      <x:c r="E7" s="16" t="s">
        <x:v>137</x:v>
      </x:c>
      <x:c r="F7" s="16" t="s">
        <x:v>25</x:v>
      </x:c>
      <x:c r="G7" s="16" t="s">
        <x:v>95</x:v>
      </x:c>
      <x:c r="H7" s="17">
        <x:f>IF(A7="","",공정진행관리!M7)</x:f>
        <x:v>0</x:v>
      </x:c>
      <x:c r="I7" s="18">
        <x:v>65780000</x:v>
      </x:c>
      <x:c r="J7" s="16" t="s">
        <x:v>29</x:v>
      </x:c>
      <x:c r="K7" s="19"/>
      <x:c r="L7" s="16" t="s">
        <x:v>29</x:v>
      </x:c>
      <x:c r="M7" s="19"/>
      <x:c r="N7" s="16" t="s">
        <x:v>120</x:v>
      </x:c>
      <x:c r="O7" s="19"/>
      <x:c r="P7" s="16" t="s">
        <x:v>34</x:v>
      </x:c>
      <x:c r="Q7" s="16" t="s">
        <x:v>4</x:v>
      </x:c>
      <x:c r="R7" s="16" t="s">
        <x:v>136</x:v>
      </x:c>
    </x:row>
    <x:row r="8" spans="1:18">
      <x:c r="A8" s="20" t="s">
        <x:v>184</x:v>
      </x:c>
      <x:c r="B8" s="20" t="s">
        <x:v>9</x:v>
      </x:c>
      <x:c r="C8" s="20" t="s">
        <x:v>111</x:v>
      </x:c>
      <x:c r="D8" s="20" t="s">
        <x:v>181</x:v>
      </x:c>
      <x:c r="E8" s="20" t="s">
        <x:v>130</x:v>
      </x:c>
      <x:c r="F8" s="20" t="s">
        <x:v>25</x:v>
      </x:c>
      <x:c r="G8" s="20" t="s">
        <x:v>95</x:v>
      </x:c>
      <x:c r="H8" s="21">
        <x:f>IF(A8="","",공정진행관리!M8)</x:f>
        <x:v>0</x:v>
      </x:c>
      <x:c r="I8" s="22">
        <x:v>1407979800</x:v>
      </x:c>
      <x:c r="J8" s="20" t="s">
        <x:v>29</x:v>
      </x:c>
      <x:c r="K8" s="23"/>
      <x:c r="L8" s="20" t="s">
        <x:v>29</x:v>
      </x:c>
      <x:c r="M8" s="23"/>
      <x:c r="N8" s="20" t="s">
        <x:v>124</x:v>
      </x:c>
      <x:c r="O8" s="23"/>
      <x:c r="P8" s="20" t="s">
        <x:v>34</x:v>
      </x:c>
      <x:c r="Q8" s="20"/>
      <x:c r="R8" s="20" t="s">
        <x:v>126</x:v>
      </x:c>
    </x:row>
    <x:row r="9" spans="1:18">
      <x:c r="A9" s="24" t="s">
        <x:v>185</x:v>
      </x:c>
      <x:c r="B9" s="24" t="s">
        <x:v>152</x:v>
      </x:c>
      <x:c r="C9" s="24" t="s">
        <x:v>111</x:v>
      </x:c>
      <x:c r="D9" s="24" t="s">
        <x:v>181</x:v>
      </x:c>
      <x:c r="E9" s="24" t="s">
        <x:v>121</x:v>
      </x:c>
      <x:c r="F9" s="24" t="s">
        <x:v>33</x:v>
      </x:c>
      <x:c r="G9" s="24" t="s">
        <x:v>97</x:v>
      </x:c>
      <x:c r="H9" s="25">
        <x:f>IF(A9="","",공정진행관리!M9)</x:f>
        <x:v>0</x:v>
      </x:c>
      <x:c r="I9" s="26">
        <x:v>77000000</x:v>
      </x:c>
      <x:c r="J9" s="24" t="s">
        <x:v>29</x:v>
      </x:c>
      <x:c r="K9" s="27"/>
      <x:c r="L9" s="24" t="s">
        <x:v>29</x:v>
      </x:c>
      <x:c r="M9" s="27"/>
      <x:c r="N9" s="24" t="s">
        <x:v>13</x:v>
      </x:c>
      <x:c r="O9" s="27"/>
      <x:c r="P9" s="24" t="s">
        <x:v>34</x:v>
      </x:c>
      <x:c r="Q9" s="24" t="s">
        <x:v>4</x:v>
      </x:c>
      <x:c r="R9" s="24" t="s">
        <x:v>141</x:v>
      </x:c>
    </x:row>
    <x:row r="10" spans="1:18">
      <x:c r="A10" s="24" t="s">
        <x:v>186</x:v>
      </x:c>
      <x:c r="B10" s="24" t="s">
        <x:v>152</x:v>
      </x:c>
      <x:c r="C10" s="24" t="s">
        <x:v>102</x:v>
      </x:c>
      <x:c r="D10" s="24" t="s">
        <x:v>181</x:v>
      </x:c>
      <x:c r="E10" s="24" t="s">
        <x:v>121</x:v>
      </x:c>
      <x:c r="F10" s="24" t="s">
        <x:v>33</x:v>
      </x:c>
      <x:c r="G10" s="24" t="s">
        <x:v>97</x:v>
      </x:c>
      <x:c r="H10" s="25">
        <x:f>IF(A10="","",공정진행관리!M10)</x:f>
        <x:v>0</x:v>
      </x:c>
      <x:c r="I10" s="26">
        <x:v>77000000</x:v>
      </x:c>
      <x:c r="J10" s="24" t="s">
        <x:v>29</x:v>
      </x:c>
      <x:c r="K10" s="27"/>
      <x:c r="L10" s="24" t="s">
        <x:v>29</x:v>
      </x:c>
      <x:c r="M10" s="27"/>
      <x:c r="N10" s="24" t="s">
        <x:v>13</x:v>
      </x:c>
      <x:c r="O10" s="27"/>
      <x:c r="P10" s="24" t="s">
        <x:v>34</x:v>
      </x:c>
      <x:c r="Q10" s="24" t="s">
        <x:v>4</x:v>
      </x:c>
      <x:c r="R10" s="24" t="s">
        <x:v>141</x:v>
      </x:c>
    </x:row>
    <x:row r="11" spans="1:18">
      <x:c r="A11" s="28" t="s">
        <x:v>187</x:v>
      </x:c>
      <x:c r="B11" s="28" t="s">
        <x:v>153</x:v>
      </x:c>
      <x:c r="C11" s="28" t="s">
        <x:v>149</x:v>
      </x:c>
      <x:c r="D11" s="28" t="s">
        <x:v>181</x:v>
      </x:c>
      <x:c r="E11" s="28" t="s">
        <x:v>5</x:v>
      </x:c>
      <x:c r="F11" s="28" t="s">
        <x:v>33</x:v>
      </x:c>
      <x:c r="G11" s="28" t="s">
        <x:v>97</x:v>
      </x:c>
      <x:c r="H11" s="29">
        <x:f>IF(A11="","",공정진행관리!M11)</x:f>
        <x:v>0</x:v>
      </x:c>
      <x:c r="I11" s="30">
        <x:v>570900000</x:v>
      </x:c>
      <x:c r="J11" s="28" t="s">
        <x:v>29</x:v>
      </x:c>
      <x:c r="K11" s="31"/>
      <x:c r="L11" s="28" t="s">
        <x:v>29</x:v>
      </x:c>
      <x:c r="M11" s="31"/>
      <x:c r="N11" s="28" t="s">
        <x:v>13</x:v>
      </x:c>
      <x:c r="O11" s="31"/>
      <x:c r="P11" s="28" t="s">
        <x:v>34</x:v>
      </x:c>
      <x:c r="Q11" s="28" t="s">
        <x:v>4</x:v>
      </x:c>
      <x:c r="R11" s="28" t="s">
        <x:v>132</x:v>
      </x:c>
    </x:row>
    <x:row r="12" spans="1:18">
      <x:c r="A12" s="28" t="s">
        <x:v>192</x:v>
      </x:c>
      <x:c r="B12" s="28" t="s">
        <x:v>153</x:v>
      </x:c>
      <x:c r="C12" s="28" t="s">
        <x:v>149</x:v>
      </x:c>
      <x:c r="D12" s="28" t="s">
        <x:v>177</x:v>
      </x:c>
      <x:c r="E12" s="28" t="s">
        <x:v>154</x:v>
      </x:c>
      <x:c r="F12" s="28" t="s">
        <x:v>33</x:v>
      </x:c>
      <x:c r="G12" s="28" t="s">
        <x:v>97</x:v>
      </x:c>
      <x:c r="H12" s="29">
        <x:f>IF(A12="","",공정진행관리!M12)</x:f>
        <x:v>0</x:v>
      </x:c>
      <x:c r="I12" s="30">
        <x:v>96800000</x:v>
      </x:c>
      <x:c r="J12" s="28" t="s">
        <x:v>29</x:v>
      </x:c>
      <x:c r="K12" s="31"/>
      <x:c r="L12" s="28" t="s">
        <x:v>29</x:v>
      </x:c>
      <x:c r="M12" s="31"/>
      <x:c r="N12" s="28" t="s">
        <x:v>13</x:v>
      </x:c>
      <x:c r="O12" s="31"/>
      <x:c r="P12" s="28" t="s">
        <x:v>26</x:v>
      </x:c>
      <x:c r="Q12" s="28" t="s">
        <x:v>6</x:v>
      </x:c>
      <x:c r="R12" s="28" t="s">
        <x:v>134</x:v>
      </x:c>
    </x:row>
    <x:row r="13" spans="1:18">
      <x:c r="A13" s="28" t="s">
        <x:v>193</x:v>
      </x:c>
      <x:c r="B13" s="28" t="s">
        <x:v>153</x:v>
      </x:c>
      <x:c r="C13" s="28" t="s">
        <x:v>112</x:v>
      </x:c>
      <x:c r="D13" s="28" t="s">
        <x:v>181</x:v>
      </x:c>
      <x:c r="E13" s="28" t="s">
        <x:v>155</x:v>
      </x:c>
      <x:c r="F13" s="28" t="s">
        <x:v>33</x:v>
      </x:c>
      <x:c r="G13" s="28" t="s">
        <x:v>97</x:v>
      </x:c>
      <x:c r="H13" s="29">
        <x:f>IF(A13="","",공정진행관리!M13)</x:f>
        <x:v>0</x:v>
      </x:c>
      <x:c r="I13" s="30">
        <x:v>68200000</x:v>
      </x:c>
      <x:c r="J13" s="28" t="s">
        <x:v>29</x:v>
      </x:c>
      <x:c r="K13" s="31"/>
      <x:c r="L13" s="28" t="s">
        <x:v>29</x:v>
      </x:c>
      <x:c r="M13" s="31"/>
      <x:c r="N13" s="28" t="s">
        <x:v>13</x:v>
      </x:c>
      <x:c r="O13" s="31"/>
      <x:c r="P13" s="28" t="s">
        <x:v>34</x:v>
      </x:c>
      <x:c r="Q13" s="28" t="s">
        <x:v>4</x:v>
      </x:c>
      <x:c r="R13" s="28" t="s">
        <x:v>262</x:v>
      </x:c>
    </x:row>
    <x:row r="14" spans="1:18">
      <x:c r="A14" s="28" t="s">
        <x:v>174</x:v>
      </x:c>
      <x:c r="B14" s="28" t="s">
        <x:v>153</x:v>
      </x:c>
      <x:c r="C14" s="28" t="s">
        <x:v>96</x:v>
      </x:c>
      <x:c r="D14" s="28" t="s">
        <x:v>181</x:v>
      </x:c>
      <x:c r="E14" s="28" t="s">
        <x:v>155</x:v>
      </x:c>
      <x:c r="F14" s="28" t="s">
        <x:v>33</x:v>
      </x:c>
      <x:c r="G14" s="28" t="s">
        <x:v>97</x:v>
      </x:c>
      <x:c r="H14" s="29">
        <x:f>IF(A14="","",공정진행관리!M14)</x:f>
        <x:v>0</x:v>
      </x:c>
      <x:c r="I14" s="30">
        <x:v>58300000</x:v>
      </x:c>
      <x:c r="J14" s="28" t="s">
        <x:v>29</x:v>
      </x:c>
      <x:c r="K14" s="31"/>
      <x:c r="L14" s="28" t="s">
        <x:v>29</x:v>
      </x:c>
      <x:c r="M14" s="31"/>
      <x:c r="N14" s="28" t="s">
        <x:v>13</x:v>
      </x:c>
      <x:c r="O14" s="31"/>
      <x:c r="P14" s="28" t="s">
        <x:v>34</x:v>
      </x:c>
      <x:c r="Q14" s="28" t="s">
        <x:v>4</x:v>
      </x:c>
      <x:c r="R14" s="28" t="s">
        <x:v>122</x:v>
      </x:c>
    </x:row>
    <x:row r="15" spans="1:18">
      <x:c r="A15" s="28" t="s">
        <x:v>175</x:v>
      </x:c>
      <x:c r="B15" s="28" t="s">
        <x:v>153</x:v>
      </x:c>
      <x:c r="C15" s="28" t="s">
        <x:v>98</x:v>
      </x:c>
      <x:c r="D15" s="28" t="s">
        <x:v>181</x:v>
      </x:c>
      <x:c r="E15" s="28" t="s">
        <x:v>155</x:v>
      </x:c>
      <x:c r="F15" s="28" t="s">
        <x:v>33</x:v>
      </x:c>
      <x:c r="G15" s="28" t="s">
        <x:v>97</x:v>
      </x:c>
      <x:c r="H15" s="29">
        <x:f>IF(A15="","",공정진행관리!M15)</x:f>
        <x:v>0</x:v>
      </x:c>
      <x:c r="I15" s="30">
        <x:v>50600000</x:v>
      </x:c>
      <x:c r="J15" s="28" t="s">
        <x:v>29</x:v>
      </x:c>
      <x:c r="K15" s="31"/>
      <x:c r="L15" s="28" t="s">
        <x:v>29</x:v>
      </x:c>
      <x:c r="M15" s="31"/>
      <x:c r="N15" s="28" t="s">
        <x:v>13</x:v>
      </x:c>
      <x:c r="O15" s="31"/>
      <x:c r="P15" s="28" t="s">
        <x:v>34</x:v>
      </x:c>
      <x:c r="Q15" s="28" t="s">
        <x:v>4</x:v>
      </x:c>
      <x:c r="R15" s="28" t="s">
        <x:v>173</x:v>
      </x:c>
    </x:row>
    <x:row r="16" spans="1:18">
      <x:c r="A16" s="32" t="s">
        <x:v>198</x:v>
      </x:c>
      <x:c r="B16" s="32" t="s">
        <x:v>200</x:v>
      </x:c>
      <x:c r="C16" s="32" t="s">
        <x:v>150</x:v>
      </x:c>
      <x:c r="D16" s="32"/>
      <x:c r="E16" s="32" t="s">
        <x:v>156</x:v>
      </x:c>
      <x:c r="F16" s="32" t="s">
        <x:v>31</x:v>
      </x:c>
      <x:c r="G16" s="32" t="s">
        <x:v>30</x:v>
      </x:c>
      <x:c r="H16" s="33">
        <x:f>IF(A16="","",공정진행관리!M16)</x:f>
        <x:v>0</x:v>
      </x:c>
      <x:c r="I16" s="34"/>
      <x:c r="J16" s="32" t="s">
        <x:v>204</x:v>
      </x:c>
      <x:c r="K16" s="35"/>
      <x:c r="L16" s="32" t="s">
        <x:v>204</x:v>
      </x:c>
      <x:c r="M16" s="35"/>
      <x:c r="N16" s="32" t="s">
        <x:v>125</x:v>
      </x:c>
      <x:c r="O16" s="35"/>
      <x:c r="P16" s="32"/>
      <x:c r="Q16" s="32"/>
      <x:c r="R16" s="32" t="s">
        <x:v>3</x:v>
      </x:c>
    </x:row>
    <x:row r="17" spans="1:18">
      <x:c r="A17" s="36" t="s">
        <x:v>203</x:v>
      </x:c>
      <x:c r="B17" s="36" t="s">
        <x:v>8</x:v>
      </x:c>
      <x:c r="C17" s="36" t="s">
        <x:v>149</x:v>
      </x:c>
      <x:c r="D17" s="36" t="s">
        <x:v>181</x:v>
      </x:c>
      <x:c r="E17" s="36" t="s">
        <x:v>123</x:v>
      </x:c>
      <x:c r="F17" s="36" t="s">
        <x:v>25</x:v>
      </x:c>
      <x:c r="G17" s="36" t="s">
        <x:v>95</x:v>
      </x:c>
      <x:c r="H17" s="37">
        <x:f>IF(A17="","",공정진행관리!M17)</x:f>
        <x:v>0</x:v>
      </x:c>
      <x:c r="I17" s="38">
        <x:v>56540000</x:v>
      </x:c>
      <x:c r="J17" s="36" t="s">
        <x:v>29</x:v>
      </x:c>
      <x:c r="K17" s="39"/>
      <x:c r="L17" s="36" t="s">
        <x:v>29</x:v>
      </x:c>
      <x:c r="M17" s="39"/>
      <x:c r="N17" s="36" t="s">
        <x:v>120</x:v>
      </x:c>
      <x:c r="O17" s="39"/>
      <x:c r="P17" s="36" t="s">
        <x:v>34</x:v>
      </x:c>
      <x:c r="Q17" s="36" t="s">
        <x:v>4</x:v>
      </x:c>
      <x:c r="R17" s="36" t="s">
        <x:v>169</x:v>
      </x:c>
    </x:row>
    <x:row r="18" spans="1:18">
      <x:c r="A18" s="40"/>
      <x:c r="B18" s="40"/>
      <x:c r="C18" s="40"/>
      <x:c r="D18" s="40"/>
      <x:c r="E18" s="40"/>
      <x:c r="F18" s="40"/>
      <x:c r="G18" s="40"/>
      <x:c r="H18" s="41" t="str">
        <x:f>IF(A18="","",공정진행관리!M18)</x:f>
        <x:v/>
      </x:c>
      <x:c r="I18" s="42"/>
      <x:c r="J18" s="40"/>
      <x:c r="K18" s="43"/>
      <x:c r="L18" s="40"/>
      <x:c r="M18" s="43"/>
      <x:c r="N18" s="40"/>
      <x:c r="O18" s="43"/>
      <x:c r="P18" s="40"/>
      <x:c r="Q18" s="40"/>
      <x:c r="R18" s="40"/>
    </x:row>
    <x:row r="19" spans="1:18">
      <x:c r="A19" s="40"/>
      <x:c r="B19" s="40"/>
      <x:c r="C19" s="40"/>
      <x:c r="D19" s="40"/>
      <x:c r="E19" s="40"/>
      <x:c r="F19" s="40"/>
      <x:c r="G19" s="40"/>
      <x:c r="H19" s="41" t="str">
        <x:f>IF(A19="","",공정진행관리!M19)</x:f>
        <x:v/>
      </x:c>
      <x:c r="I19" s="42"/>
      <x:c r="J19" s="40"/>
      <x:c r="K19" s="43"/>
      <x:c r="L19" s="40"/>
      <x:c r="M19" s="43"/>
      <x:c r="N19" s="40"/>
      <x:c r="O19" s="43"/>
      <x:c r="P19" s="40"/>
      <x:c r="Q19" s="40"/>
      <x:c r="R19" s="40"/>
    </x:row>
    <x:row r="20" spans="1:18">
      <x:c r="A20" s="40"/>
      <x:c r="B20" s="40"/>
      <x:c r="C20" s="40"/>
      <x:c r="D20" s="40"/>
      <x:c r="E20" s="40"/>
      <x:c r="F20" s="40"/>
      <x:c r="G20" s="40"/>
      <x:c r="H20" s="41" t="str">
        <x:f>IF(A20="","",공정진행관리!M20)</x:f>
        <x:v/>
      </x:c>
      <x:c r="I20" s="42"/>
      <x:c r="J20" s="40"/>
      <x:c r="K20" s="43"/>
      <x:c r="L20" s="40"/>
      <x:c r="M20" s="43"/>
      <x:c r="N20" s="40"/>
      <x:c r="O20" s="43"/>
      <x:c r="P20" s="40"/>
      <x:c r="Q20" s="40"/>
      <x:c r="R20" s="40"/>
    </x:row>
    <x:row r="21" spans="1:18">
      <x:c r="A21" s="40"/>
      <x:c r="B21" s="40"/>
      <x:c r="C21" s="40"/>
      <x:c r="D21" s="40"/>
      <x:c r="E21" s="40"/>
      <x:c r="F21" s="40"/>
      <x:c r="G21" s="40"/>
      <x:c r="H21" s="41" t="str">
        <x:f>IF(A21="","",공정진행관리!M21)</x:f>
        <x:v/>
      </x:c>
      <x:c r="I21" s="42"/>
      <x:c r="J21" s="40"/>
      <x:c r="K21" s="43"/>
      <x:c r="L21" s="40"/>
      <x:c r="M21" s="43"/>
      <x:c r="N21" s="40"/>
      <x:c r="O21" s="43"/>
      <x:c r="P21" s="40"/>
      <x:c r="Q21" s="40"/>
      <x:c r="R21" s="40"/>
    </x:row>
    <x:row r="22" spans="1:18">
      <x:c r="A22" s="40"/>
      <x:c r="B22" s="40"/>
      <x:c r="C22" s="40"/>
      <x:c r="D22" s="40"/>
      <x:c r="E22" s="40"/>
      <x:c r="F22" s="40"/>
      <x:c r="G22" s="40"/>
      <x:c r="H22" s="41" t="str">
        <x:f>IF(A22="","",공정진행관리!M22)</x:f>
        <x:v/>
      </x:c>
      <x:c r="I22" s="42"/>
      <x:c r="J22" s="40"/>
      <x:c r="K22" s="43"/>
      <x:c r="L22" s="40"/>
      <x:c r="M22" s="43"/>
      <x:c r="N22" s="40"/>
      <x:c r="O22" s="43"/>
      <x:c r="P22" s="40"/>
      <x:c r="Q22" s="40"/>
      <x:c r="R22" s="40"/>
    </x:row>
    <x:row r="23" spans="1:18">
      <x:c r="A23" s="40"/>
      <x:c r="B23" s="40"/>
      <x:c r="C23" s="40"/>
      <x:c r="D23" s="40"/>
      <x:c r="E23" s="40"/>
      <x:c r="F23" s="40"/>
      <x:c r="G23" s="40"/>
      <x:c r="H23" s="41" t="str">
        <x:f>IF(A23="","",공정진행관리!M23)</x:f>
        <x:v/>
      </x:c>
      <x:c r="I23" s="42"/>
      <x:c r="J23" s="40"/>
      <x:c r="K23" s="43"/>
      <x:c r="L23" s="40"/>
      <x:c r="M23" s="43"/>
      <x:c r="N23" s="40"/>
      <x:c r="O23" s="43"/>
      <x:c r="P23" s="40"/>
      <x:c r="Q23" s="40"/>
      <x:c r="R23" s="40"/>
    </x:row>
    <x:row r="24" spans="1:18">
      <x:c r="A24" s="40"/>
      <x:c r="B24" s="40"/>
      <x:c r="C24" s="40"/>
      <x:c r="D24" s="40"/>
      <x:c r="E24" s="40"/>
      <x:c r="F24" s="40"/>
      <x:c r="G24" s="40"/>
      <x:c r="H24" s="41" t="str">
        <x:f>IF(A24="","",공정진행관리!M24)</x:f>
        <x:v/>
      </x:c>
      <x:c r="I24" s="42"/>
      <x:c r="J24" s="40"/>
      <x:c r="K24" s="43"/>
      <x:c r="L24" s="40"/>
      <x:c r="M24" s="43"/>
      <x:c r="N24" s="40"/>
      <x:c r="O24" s="43"/>
      <x:c r="P24" s="40"/>
      <x:c r="Q24" s="40"/>
      <x:c r="R24" s="40"/>
    </x:row>
    <x:row r="25" spans="1:18">
      <x:c r="A25" s="40"/>
      <x:c r="B25" s="40"/>
      <x:c r="C25" s="40"/>
      <x:c r="D25" s="40"/>
      <x:c r="E25" s="40"/>
      <x:c r="F25" s="40"/>
      <x:c r="G25" s="40"/>
      <x:c r="H25" s="41" t="str">
        <x:f>IF(A25="","",공정진행관리!M25)</x:f>
        <x:v/>
      </x:c>
      <x:c r="I25" s="42"/>
      <x:c r="J25" s="40"/>
      <x:c r="K25" s="43"/>
      <x:c r="L25" s="40"/>
      <x:c r="M25" s="43"/>
      <x:c r="N25" s="40"/>
      <x:c r="O25" s="43"/>
      <x:c r="P25" s="40"/>
      <x:c r="Q25" s="40"/>
      <x:c r="R25" s="40"/>
    </x:row>
    <x:row r="26" spans="1:18">
      <x:c r="A26" s="40"/>
      <x:c r="B26" s="40"/>
      <x:c r="C26" s="40"/>
      <x:c r="D26" s="40"/>
      <x:c r="E26" s="40"/>
      <x:c r="F26" s="40"/>
      <x:c r="G26" s="40"/>
      <x:c r="H26" s="41" t="str">
        <x:f>IF(A26="","",공정진행관리!M26)</x:f>
        <x:v/>
      </x:c>
      <x:c r="I26" s="42"/>
      <x:c r="J26" s="40"/>
      <x:c r="K26" s="43"/>
      <x:c r="L26" s="40"/>
      <x:c r="M26" s="43"/>
      <x:c r="N26" s="40"/>
      <x:c r="O26" s="43"/>
      <x:c r="P26" s="40"/>
      <x:c r="Q26" s="40"/>
      <x:c r="R26" s="40"/>
    </x:row>
    <x:row r="27" spans="1:18">
      <x:c r="A27" s="40"/>
      <x:c r="B27" s="40"/>
      <x:c r="C27" s="40"/>
      <x:c r="D27" s="40"/>
      <x:c r="E27" s="40"/>
      <x:c r="F27" s="40"/>
      <x:c r="G27" s="40"/>
      <x:c r="H27" s="41" t="str">
        <x:f>IF(A27="","",공정진행관리!M27)</x:f>
        <x:v/>
      </x:c>
      <x:c r="I27" s="42"/>
      <x:c r="J27" s="40"/>
      <x:c r="K27" s="43"/>
      <x:c r="L27" s="40"/>
      <x:c r="M27" s="43"/>
      <x:c r="N27" s="40"/>
      <x:c r="O27" s="43"/>
      <x:c r="P27" s="40"/>
      <x:c r="Q27" s="40"/>
      <x:c r="R27" s="40"/>
    </x:row>
    <x:row r="28" spans="1:18">
      <x:c r="A28" s="40"/>
      <x:c r="B28" s="40"/>
      <x:c r="C28" s="40"/>
      <x:c r="D28" s="40"/>
      <x:c r="E28" s="40"/>
      <x:c r="F28" s="40"/>
      <x:c r="G28" s="40"/>
      <x:c r="H28" s="41" t="str">
        <x:f>IF(A28="","",공정진행관리!M28)</x:f>
        <x:v/>
      </x:c>
      <x:c r="I28" s="42"/>
      <x:c r="J28" s="40"/>
      <x:c r="K28" s="43"/>
      <x:c r="L28" s="40"/>
      <x:c r="M28" s="43"/>
      <x:c r="N28" s="40"/>
      <x:c r="O28" s="43"/>
      <x:c r="P28" s="40"/>
      <x:c r="Q28" s="40"/>
      <x:c r="R28" s="40"/>
    </x:row>
    <x:row r="29" spans="1:18">
      <x:c r="A29" s="40"/>
      <x:c r="B29" s="40"/>
      <x:c r="C29" s="40"/>
      <x:c r="D29" s="40"/>
      <x:c r="E29" s="40"/>
      <x:c r="F29" s="40"/>
      <x:c r="G29" s="40"/>
      <x:c r="H29" s="41" t="str">
        <x:f>IF(A29="","",공정진행관리!M29)</x:f>
        <x:v/>
      </x:c>
      <x:c r="I29" s="42"/>
      <x:c r="J29" s="40"/>
      <x:c r="K29" s="43"/>
      <x:c r="L29" s="40"/>
      <x:c r="M29" s="43"/>
      <x:c r="N29" s="40"/>
      <x:c r="O29" s="43"/>
      <x:c r="P29" s="40"/>
      <x:c r="Q29" s="40"/>
      <x:c r="R29" s="40"/>
    </x:row>
    <x:row r="30" spans="1:18">
      <x:c r="A30" s="40"/>
      <x:c r="B30" s="40"/>
      <x:c r="C30" s="40"/>
      <x:c r="D30" s="40"/>
      <x:c r="E30" s="40"/>
      <x:c r="F30" s="40"/>
      <x:c r="G30" s="40"/>
      <x:c r="H30" s="41" t="str">
        <x:f>IF(A30="","",공정진행관리!M30)</x:f>
        <x:v/>
      </x:c>
      <x:c r="I30" s="42"/>
      <x:c r="J30" s="40"/>
      <x:c r="K30" s="43"/>
      <x:c r="L30" s="40"/>
      <x:c r="M30" s="43"/>
      <x:c r="N30" s="40"/>
      <x:c r="O30" s="43"/>
      <x:c r="P30" s="40"/>
      <x:c r="Q30" s="40"/>
      <x:c r="R30" s="40"/>
    </x:row>
    <x:row r="31" spans="1:18">
      <x:c r="A31" s="40"/>
      <x:c r="B31" s="40"/>
      <x:c r="C31" s="40"/>
      <x:c r="D31" s="40"/>
      <x:c r="E31" s="40"/>
      <x:c r="F31" s="40"/>
      <x:c r="G31" s="40"/>
      <x:c r="H31" s="41" t="str">
        <x:f>IF(A31="","",공정진행관리!M31)</x:f>
        <x:v/>
      </x:c>
      <x:c r="I31" s="42"/>
      <x:c r="J31" s="40"/>
      <x:c r="K31" s="43"/>
      <x:c r="L31" s="40"/>
      <x:c r="M31" s="43"/>
      <x:c r="N31" s="40"/>
      <x:c r="O31" s="43"/>
      <x:c r="P31" s="40"/>
      <x:c r="Q31" s="40"/>
      <x:c r="R31" s="40"/>
    </x:row>
    <x:row r="32" spans="1:18">
      <x:c r="A32" s="40"/>
      <x:c r="B32" s="40"/>
      <x:c r="C32" s="40"/>
      <x:c r="D32" s="40"/>
      <x:c r="E32" s="40"/>
      <x:c r="F32" s="40"/>
      <x:c r="G32" s="40"/>
      <x:c r="H32" s="41" t="str">
        <x:f>IF(A32="","",공정진행관리!M32)</x:f>
        <x:v/>
      </x:c>
      <x:c r="I32" s="42"/>
      <x:c r="J32" s="40"/>
      <x:c r="K32" s="43"/>
      <x:c r="L32" s="40"/>
      <x:c r="M32" s="43"/>
      <x:c r="N32" s="40"/>
      <x:c r="O32" s="43"/>
      <x:c r="P32" s="40"/>
      <x:c r="Q32" s="40"/>
      <x:c r="R32" s="40"/>
    </x:row>
    <x:row r="33" spans="1:18">
      <x:c r="A33" s="40"/>
      <x:c r="B33" s="40"/>
      <x:c r="C33" s="40"/>
      <x:c r="D33" s="40"/>
      <x:c r="E33" s="40"/>
      <x:c r="F33" s="40"/>
      <x:c r="G33" s="40"/>
      <x:c r="H33" s="41" t="str">
        <x:f>IF(A33="","",공정진행관리!M33)</x:f>
        <x:v/>
      </x:c>
      <x:c r="I33" s="42"/>
      <x:c r="J33" s="40"/>
      <x:c r="K33" s="43"/>
      <x:c r="L33" s="40"/>
      <x:c r="M33" s="43"/>
      <x:c r="N33" s="40"/>
      <x:c r="O33" s="43"/>
      <x:c r="P33" s="40"/>
      <x:c r="Q33" s="40"/>
      <x:c r="R33" s="40"/>
    </x:row>
    <x:row r="34" spans="1:18">
      <x:c r="A34" s="40"/>
      <x:c r="B34" s="40"/>
      <x:c r="C34" s="40"/>
      <x:c r="D34" s="40"/>
      <x:c r="E34" s="40"/>
      <x:c r="F34" s="40"/>
      <x:c r="G34" s="40"/>
      <x:c r="H34" s="41" t="str">
        <x:f>IF(A34="","",공정진행관리!M34)</x:f>
        <x:v/>
      </x:c>
      <x:c r="I34" s="42"/>
      <x:c r="J34" s="40"/>
      <x:c r="K34" s="43"/>
      <x:c r="L34" s="40"/>
      <x:c r="M34" s="43"/>
      <x:c r="N34" s="40"/>
      <x:c r="O34" s="43"/>
      <x:c r="P34" s="40"/>
      <x:c r="Q34" s="40"/>
      <x:c r="R34" s="40"/>
    </x:row>
    <x:row r="35" spans="1:18">
      <x:c r="A35" s="40"/>
      <x:c r="B35" s="40"/>
      <x:c r="C35" s="40"/>
      <x:c r="D35" s="40"/>
      <x:c r="E35" s="40"/>
      <x:c r="F35" s="40"/>
      <x:c r="G35" s="40"/>
      <x:c r="H35" s="41" t="str">
        <x:f>IF(A35="","",공정진행관리!M35)</x:f>
        <x:v/>
      </x:c>
      <x:c r="I35" s="42"/>
      <x:c r="J35" s="40"/>
      <x:c r="K35" s="43"/>
      <x:c r="L35" s="40"/>
      <x:c r="M35" s="43"/>
      <x:c r="N35" s="40"/>
      <x:c r="O35" s="43"/>
      <x:c r="P35" s="40"/>
      <x:c r="Q35" s="40"/>
      <x:c r="R35" s="40"/>
    </x:row>
    <x:row r="36" spans="1:18">
      <x:c r="A36" s="40"/>
      <x:c r="B36" s="40"/>
      <x:c r="C36" s="40"/>
      <x:c r="D36" s="40"/>
      <x:c r="E36" s="40"/>
      <x:c r="F36" s="40"/>
      <x:c r="G36" s="40"/>
      <x:c r="H36" s="41" t="str">
        <x:f>IF(A36="","",공정진행관리!M36)</x:f>
        <x:v/>
      </x:c>
      <x:c r="I36" s="42"/>
      <x:c r="J36" s="40"/>
      <x:c r="K36" s="43"/>
      <x:c r="L36" s="40"/>
      <x:c r="M36" s="43"/>
      <x:c r="N36" s="40"/>
      <x:c r="O36" s="43"/>
      <x:c r="P36" s="40"/>
      <x:c r="Q36" s="40"/>
      <x:c r="R36" s="40"/>
    </x:row>
    <x:row r="37" spans="1:18">
      <x:c r="A37" s="40"/>
      <x:c r="B37" s="40"/>
      <x:c r="C37" s="40"/>
      <x:c r="D37" s="40"/>
      <x:c r="E37" s="40"/>
      <x:c r="F37" s="40"/>
      <x:c r="G37" s="40"/>
      <x:c r="H37" s="41" t="str">
        <x:f>IF(A37="","",공정진행관리!M37)</x:f>
        <x:v/>
      </x:c>
      <x:c r="I37" s="42"/>
      <x:c r="J37" s="40"/>
      <x:c r="K37" s="43"/>
      <x:c r="L37" s="40"/>
      <x:c r="M37" s="43"/>
      <x:c r="N37" s="40"/>
      <x:c r="O37" s="43"/>
      <x:c r="P37" s="40"/>
      <x:c r="Q37" s="40"/>
      <x:c r="R37" s="40"/>
    </x:row>
    <x:row r="38" spans="1:18">
      <x:c r="A38" s="40"/>
      <x:c r="B38" s="40"/>
      <x:c r="C38" s="40"/>
      <x:c r="D38" s="40"/>
      <x:c r="E38" s="40"/>
      <x:c r="F38" s="40"/>
      <x:c r="G38" s="40"/>
      <x:c r="H38" s="41" t="str">
        <x:f>IF(A38="","",공정진행관리!M38)</x:f>
        <x:v/>
      </x:c>
      <x:c r="I38" s="42"/>
      <x:c r="J38" s="40"/>
      <x:c r="K38" s="43"/>
      <x:c r="L38" s="40"/>
      <x:c r="M38" s="43"/>
      <x:c r="N38" s="40"/>
      <x:c r="O38" s="43"/>
      <x:c r="P38" s="40"/>
      <x:c r="Q38" s="40"/>
      <x:c r="R38" s="40"/>
    </x:row>
    <x:row r="39" spans="1:18">
      <x:c r="A39" s="40"/>
      <x:c r="B39" s="40"/>
      <x:c r="C39" s="40"/>
      <x:c r="D39" s="40"/>
      <x:c r="E39" s="40"/>
      <x:c r="F39" s="40"/>
      <x:c r="G39" s="40"/>
      <x:c r="H39" s="41" t="str">
        <x:f>IF(A39="","",공정진행관리!M39)</x:f>
        <x:v/>
      </x:c>
      <x:c r="I39" s="42"/>
      <x:c r="J39" s="40"/>
      <x:c r="K39" s="43"/>
      <x:c r="L39" s="40"/>
      <x:c r="M39" s="43"/>
      <x:c r="N39" s="40"/>
      <x:c r="O39" s="43"/>
      <x:c r="P39" s="40"/>
      <x:c r="Q39" s="40"/>
      <x:c r="R39" s="40"/>
    </x:row>
    <x:row r="40" spans="1:18">
      <x:c r="A40" s="40"/>
      <x:c r="B40" s="40"/>
      <x:c r="C40" s="40"/>
      <x:c r="D40" s="40"/>
      <x:c r="E40" s="40"/>
      <x:c r="F40" s="40"/>
      <x:c r="G40" s="40"/>
      <x:c r="H40" s="41" t="str">
        <x:f>IF(A40="","",공정진행관리!M40)</x:f>
        <x:v/>
      </x:c>
      <x:c r="I40" s="42"/>
      <x:c r="J40" s="40"/>
      <x:c r="K40" s="43"/>
      <x:c r="L40" s="40"/>
      <x:c r="M40" s="43"/>
      <x:c r="N40" s="40"/>
      <x:c r="O40" s="43"/>
      <x:c r="P40" s="40"/>
      <x:c r="Q40" s="40"/>
      <x:c r="R40" s="40"/>
    </x:row>
    <x:row r="41" spans="1:18">
      <x:c r="A41" s="40"/>
      <x:c r="B41" s="40"/>
      <x:c r="C41" s="40"/>
      <x:c r="D41" s="40"/>
      <x:c r="E41" s="40"/>
      <x:c r="F41" s="40"/>
      <x:c r="G41" s="40"/>
      <x:c r="H41" s="41" t="str">
        <x:f>IF(A41="","",공정진행관리!M41)</x:f>
        <x:v/>
      </x:c>
      <x:c r="I41" s="42"/>
      <x:c r="J41" s="40"/>
      <x:c r="K41" s="43"/>
      <x:c r="L41" s="40"/>
      <x:c r="M41" s="43"/>
      <x:c r="N41" s="40"/>
      <x:c r="O41" s="43"/>
      <x:c r="P41" s="40"/>
      <x:c r="Q41" s="40"/>
      <x:c r="R41" s="40"/>
    </x:row>
    <x:row r="42" spans="1:18">
      <x:c r="A42" s="40"/>
      <x:c r="B42" s="40"/>
      <x:c r="C42" s="40"/>
      <x:c r="D42" s="40"/>
      <x:c r="E42" s="40"/>
      <x:c r="F42" s="40"/>
      <x:c r="G42" s="40"/>
      <x:c r="H42" s="41" t="str">
        <x:f>IF(A42="","",공정진행관리!M42)</x:f>
        <x:v/>
      </x:c>
      <x:c r="I42" s="42"/>
      <x:c r="J42" s="40"/>
      <x:c r="K42" s="43"/>
      <x:c r="L42" s="40"/>
      <x:c r="M42" s="43"/>
      <x:c r="N42" s="40"/>
      <x:c r="O42" s="43"/>
      <x:c r="P42" s="40"/>
      <x:c r="Q42" s="40"/>
      <x:c r="R42" s="40"/>
    </x:row>
    <x:row r="43" spans="1:18">
      <x:c r="A43" s="40"/>
      <x:c r="B43" s="40"/>
      <x:c r="C43" s="40"/>
      <x:c r="D43" s="40"/>
      <x:c r="E43" s="40"/>
      <x:c r="F43" s="40"/>
      <x:c r="G43" s="40"/>
      <x:c r="H43" s="41" t="str">
        <x:f>IF(A43="","",공정진행관리!M43)</x:f>
        <x:v/>
      </x:c>
      <x:c r="I43" s="42"/>
      <x:c r="J43" s="40"/>
      <x:c r="K43" s="43"/>
      <x:c r="L43" s="40"/>
      <x:c r="M43" s="43"/>
      <x:c r="N43" s="40"/>
      <x:c r="O43" s="43"/>
      <x:c r="P43" s="40"/>
      <x:c r="Q43" s="40"/>
      <x:c r="R43" s="40"/>
    </x:row>
    <x:row r="44" spans="1:18">
      <x:c r="A44" s="40"/>
      <x:c r="B44" s="40"/>
      <x:c r="C44" s="40"/>
      <x:c r="D44" s="40"/>
      <x:c r="E44" s="40"/>
      <x:c r="F44" s="40"/>
      <x:c r="G44" s="40"/>
      <x:c r="H44" s="41" t="str">
        <x:f>IF(A44="","",공정진행관리!M44)</x:f>
        <x:v/>
      </x:c>
      <x:c r="I44" s="42"/>
      <x:c r="J44" s="40"/>
      <x:c r="K44" s="43"/>
      <x:c r="L44" s="40"/>
      <x:c r="M44" s="43"/>
      <x:c r="N44" s="40"/>
      <x:c r="O44" s="43"/>
      <x:c r="P44" s="40"/>
      <x:c r="Q44" s="40"/>
      <x:c r="R44" s="40"/>
    </x:row>
    <x:row r="45" spans="1:18">
      <x:c r="A45" s="40"/>
      <x:c r="B45" s="40"/>
      <x:c r="C45" s="40"/>
      <x:c r="D45" s="40"/>
      <x:c r="E45" s="40"/>
      <x:c r="F45" s="40"/>
      <x:c r="G45" s="40"/>
      <x:c r="H45" s="41" t="str">
        <x:f>IF(A45="","",공정진행관리!M45)</x:f>
        <x:v/>
      </x:c>
      <x:c r="I45" s="42"/>
      <x:c r="J45" s="40"/>
      <x:c r="K45" s="43"/>
      <x:c r="L45" s="40"/>
      <x:c r="M45" s="43"/>
      <x:c r="N45" s="40"/>
      <x:c r="O45" s="43"/>
      <x:c r="P45" s="40"/>
      <x:c r="Q45" s="40"/>
      <x:c r="R45" s="40"/>
    </x:row>
    <x:row r="46" spans="1:18">
      <x:c r="A46" s="40"/>
      <x:c r="B46" s="40"/>
      <x:c r="C46" s="40"/>
      <x:c r="D46" s="40"/>
      <x:c r="E46" s="40"/>
      <x:c r="F46" s="40"/>
      <x:c r="G46" s="40"/>
      <x:c r="H46" s="41" t="str">
        <x:f>IF(A46="","",공정진행관리!M46)</x:f>
        <x:v/>
      </x:c>
      <x:c r="I46" s="42"/>
      <x:c r="J46" s="40"/>
      <x:c r="K46" s="43"/>
      <x:c r="L46" s="40"/>
      <x:c r="M46" s="43"/>
      <x:c r="N46" s="40"/>
      <x:c r="O46" s="43"/>
      <x:c r="P46" s="40"/>
      <x:c r="Q46" s="40"/>
      <x:c r="R46" s="40"/>
    </x:row>
    <x:row r="47" spans="1:18">
      <x:c r="A47" s="40"/>
      <x:c r="B47" s="40"/>
      <x:c r="C47" s="40"/>
      <x:c r="D47" s="40"/>
      <x:c r="E47" s="40"/>
      <x:c r="F47" s="40"/>
      <x:c r="G47" s="40"/>
      <x:c r="H47" s="41" t="str">
        <x:f>IF(A47="","",공정진행관리!M47)</x:f>
        <x:v/>
      </x:c>
      <x:c r="I47" s="42"/>
      <x:c r="J47" s="40"/>
      <x:c r="K47" s="43"/>
      <x:c r="L47" s="40"/>
      <x:c r="M47" s="43"/>
      <x:c r="N47" s="40"/>
      <x:c r="O47" s="43"/>
      <x:c r="P47" s="40"/>
      <x:c r="Q47" s="40"/>
      <x:c r="R47" s="40"/>
    </x:row>
    <x:row r="48" spans="1:18">
      <x:c r="A48" s="40"/>
      <x:c r="B48" s="40"/>
      <x:c r="C48" s="40"/>
      <x:c r="D48" s="40"/>
      <x:c r="E48" s="40"/>
      <x:c r="F48" s="40"/>
      <x:c r="G48" s="40"/>
      <x:c r="H48" s="41" t="str">
        <x:f>IF(A48="","",공정진행관리!M48)</x:f>
        <x:v/>
      </x:c>
      <x:c r="I48" s="42"/>
      <x:c r="J48" s="40"/>
      <x:c r="K48" s="43"/>
      <x:c r="L48" s="40"/>
      <x:c r="M48" s="43"/>
      <x:c r="N48" s="40"/>
      <x:c r="O48" s="43"/>
      <x:c r="P48" s="40"/>
      <x:c r="Q48" s="40"/>
      <x:c r="R48" s="40"/>
    </x:row>
    <x:row r="49" spans="1:18">
      <x:c r="A49" s="40"/>
      <x:c r="B49" s="40"/>
      <x:c r="C49" s="40"/>
      <x:c r="D49" s="40"/>
      <x:c r="E49" s="40"/>
      <x:c r="F49" s="40"/>
      <x:c r="G49" s="40"/>
      <x:c r="H49" s="41" t="str">
        <x:f>IF(A49="","",공정진행관리!M49)</x:f>
        <x:v/>
      </x:c>
      <x:c r="I49" s="42"/>
      <x:c r="J49" s="40"/>
      <x:c r="K49" s="43"/>
      <x:c r="L49" s="40"/>
      <x:c r="M49" s="43"/>
      <x:c r="N49" s="40"/>
      <x:c r="O49" s="43"/>
      <x:c r="P49" s="40"/>
      <x:c r="Q49" s="40"/>
      <x:c r="R49" s="40"/>
    </x:row>
  </x:sheetData>
  <x:mergeCells count="2">
    <x:mergeCell ref="A1:R1"/>
    <x:mergeCell ref="A2:R2"/>
  </x:mergeCells>
  <x:conditionalFormatting sqref="H5:H49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{31DF435F-5848-4AA8-9C96-2DE1B116AB46}</x14:id>
        </x:ext>
      </x:extLst>
    </x:cfRule>
  </x:conditionalFormatting>
  <x:conditionalFormatting sqref="O5:O49">
    <x:cfRule type="expression" dxfId="12" priority="2">
      <x:formula>AND($O5&lt;&gt;"",$O5&lt;TODAY(),$G5&lt;&gt;"완료")</x:formula>
    </x:cfRule>
  </x:conditionalFormatting>
  <x:dataValidations count="4">
    <x:dataValidation type="list" sqref="F5:F49">
      <x:formula1>"후보,선정,견적,계약,수행,완료"</x:formula1>
    </x:dataValidation>
    <x:dataValidation type="list" sqref="G5:G49">
      <x:formula1>"신규,선정완료,견적작성,제출완료,협의중,계약완료,발주완료,제작중,설치중,시운전,완료,보류,취소"</x:formula1>
    </x:dataValidation>
    <x:dataValidation type="list" sqref="J5:J49">
      <x:formula1>"미수금,일부수금,수금완료,해당없음"</x:formula1>
    </x:dataValidation>
    <x:dataValidation type="list" sqref="L5:L49">
      <x:formula1>"미수금,일부수금,수금완료,해당없음"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DF435F-5848-4AA8-9C96-2DE1B116AB46}">
            <x14:dataBar direction="leftToRight">
              <x14:cfvo type="min"/>
              <x14:cfvo type="max"/>
            </x14:dataBar>
          </x14:cfRule>
          <xm:sqref>H5:H49</xm:sqref>
        </x14:conditionalFormatting>
      </x14:conditionalFormattings>
    </x:ext>
  </x:extLst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N49"/>
  <x:sheetViews>
    <x:sheetView showGridLines="0" topLeftCell="A1" zoomScaleNormal="75" zoomScaleSheetLayoutView="100" workbookViewId="0">
      <x:selection activeCell="A1" activeCellId="0" sqref="A1:XFD1048576"/>
    </x:sheetView>
  </x:sheetViews>
  <x:sheetFormatPr defaultColWidth="8.72265625" defaultRowHeight="16.39999999999999857891"/>
  <x:cols>
    <x:col min="1" max="1" width="10.62890625" style="1" customWidth="1"/>
    <x:col min="2" max="2" width="18.75" style="1" customWidth="1"/>
    <x:col min="3" max="3" width="23.18359375" style="1" customWidth="1"/>
    <x:col min="4" max="4" width="62.18359375" style="1" customWidth="1"/>
    <x:col min="5" max="12" width="14.37890625" style="1" customWidth="1"/>
    <x:col min="13" max="13" width="11.25" style="1" customWidth="1"/>
    <x:col min="14" max="14" width="27.5" style="1" customWidth="1"/>
    <x:col min="15" max="16384" width="8.72265625" style="1"/>
  </x:cols>
  <x:sheetData>
    <x:row r="1" spans="1:14" ht="23.5">
      <x:c r="A1" s="44" t="s">
        <x:v>160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spans="1:14">
      <x:c r="A2" s="46" t="s">
        <x:v>138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spans="1:14">
      <x:c r="A4" s="47" t="s">
        <x:v>86</x:v>
      </x:c>
      <x:c r="B4" s="47" t="s">
        <x:v>88</x:v>
      </x:c>
      <x:c r="C4" s="47" t="s">
        <x:v>87</x:v>
      </x:c>
      <x:c r="D4" s="47" t="s">
        <x:v>89</x:v>
      </x:c>
      <x:c r="E4" s="47" t="s">
        <x:v>190</x:v>
      </x:c>
      <x:c r="F4" s="47" t="s">
        <x:v>188</x:v>
      </x:c>
      <x:c r="G4" s="47" t="s">
        <x:v>158</x:v>
      </x:c>
      <x:c r="H4" s="47" t="s">
        <x:v>157</x:v>
      </x:c>
      <x:c r="I4" s="47" t="s">
        <x:v>159</x:v>
      </x:c>
      <x:c r="J4" s="47" t="s">
        <x:v>178</x:v>
      </x:c>
      <x:c r="K4" s="47" t="s">
        <x:v>189</x:v>
      </x:c>
      <x:c r="L4" s="47" t="s">
        <x:v>191</x:v>
      </x:c>
      <x:c r="M4" s="47" t="s">
        <x:v>49</x:v>
      </x:c>
      <x:c r="N4" s="47" t="s">
        <x:v>176</x:v>
      </x:c>
    </x:row>
    <x:row r="5" spans="1:14">
      <x:c r="A5" s="48" t="s">
        <x:v>180</x:v>
      </x:c>
      <x:c r="B5" s="48" t="s">
        <x:v>179</x:v>
      </x:c>
      <x:c r="C5" s="48" t="s">
        <x:v>12</x:v>
      </x:c>
      <x:c r="D5" s="48" t="s">
        <x:v>2</x:v>
      </x:c>
      <x:c r="E5" s="49"/>
      <x:c r="F5" s="49"/>
      <x:c r="G5" s="49"/>
      <x:c r="H5" s="49"/>
      <x:c r="I5" s="49"/>
      <x:c r="J5" s="49"/>
      <x:c r="K5" s="49"/>
      <x:c r="L5" s="49"/>
      <x:c r="M5" s="50">
        <x:f>IF(A5="","",IF(E5&lt;&gt;"",10%,0)+IF(F5&lt;&gt;"",25%,0)+IF(G5&lt;&gt;"",15%,0)+IF(I5&lt;&gt;"",20%,0)+IF(K5&lt;&gt;"",20%,0)+IF(L5&lt;&gt;"",10%,0))</x:f>
        <x:v>0</x:v>
      </x:c>
      <x:c r="N5" s="48" t="s">
        <x:v>120</x:v>
      </x:c>
    </x:row>
    <x:row r="6" spans="1:14">
      <x:c r="A6" s="48" t="s">
        <x:v>183</x:v>
      </x:c>
      <x:c r="B6" s="48" t="s">
        <x:v>179</x:v>
      </x:c>
      <x:c r="C6" s="48" t="s">
        <x:v>110</x:v>
      </x:c>
      <x:c r="D6" s="48" t="s">
        <x:v>119</x:v>
      </x:c>
      <x:c r="E6" s="49"/>
      <x:c r="F6" s="49"/>
      <x:c r="G6" s="49"/>
      <x:c r="H6" s="49"/>
      <x:c r="I6" s="49"/>
      <x:c r="J6" s="49"/>
      <x:c r="K6" s="49"/>
      <x:c r="L6" s="49"/>
      <x:c r="M6" s="50">
        <x:f>IF(A6="","",IF(E6&lt;&gt;"",10%,0)+IF(F6&lt;&gt;"",25%,0)+IF(G6&lt;&gt;"",15%,0)+IF(I6&lt;&gt;"",20%,0)+IF(K6&lt;&gt;"",20%,0)+IF(L6&lt;&gt;"",10%,0))</x:f>
        <x:v>0</x:v>
      </x:c>
      <x:c r="N6" s="48" t="s">
        <x:v>120</x:v>
      </x:c>
    </x:row>
    <x:row r="7" spans="1:14">
      <x:c r="A7" s="48" t="s">
        <x:v>182</x:v>
      </x:c>
      <x:c r="B7" s="48" t="s">
        <x:v>179</x:v>
      </x:c>
      <x:c r="C7" s="48" t="s">
        <x:v>104</x:v>
      </x:c>
      <x:c r="D7" s="48" t="s">
        <x:v>137</x:v>
      </x:c>
      <x:c r="E7" s="49"/>
      <x:c r="F7" s="49"/>
      <x:c r="G7" s="49"/>
      <x:c r="H7" s="49"/>
      <x:c r="I7" s="49"/>
      <x:c r="J7" s="49"/>
      <x:c r="K7" s="49"/>
      <x:c r="L7" s="49"/>
      <x:c r="M7" s="50">
        <x:f>IF(A7="","",IF(E7&lt;&gt;"",10%,0)+IF(F7&lt;&gt;"",25%,0)+IF(G7&lt;&gt;"",15%,0)+IF(I7&lt;&gt;"",20%,0)+IF(K7&lt;&gt;"",20%,0)+IF(L7&lt;&gt;"",10%,0))</x:f>
        <x:v>0</x:v>
      </x:c>
      <x:c r="N7" s="48" t="s">
        <x:v>120</x:v>
      </x:c>
    </x:row>
    <x:row r="8" spans="1:14">
      <x:c r="A8" s="51" t="s">
        <x:v>184</x:v>
      </x:c>
      <x:c r="B8" s="51" t="s">
        <x:v>9</x:v>
      </x:c>
      <x:c r="C8" s="51" t="s">
        <x:v>111</x:v>
      </x:c>
      <x:c r="D8" s="51" t="s">
        <x:v>130</x:v>
      </x:c>
      <x:c r="E8" s="52"/>
      <x:c r="F8" s="52"/>
      <x:c r="G8" s="52"/>
      <x:c r="H8" s="52"/>
      <x:c r="I8" s="52"/>
      <x:c r="J8" s="52"/>
      <x:c r="K8" s="52"/>
      <x:c r="L8" s="52"/>
      <x:c r="M8" s="53">
        <x:f>IF(A8="","",IF(E8&lt;&gt;"",10%,0)+IF(F8&lt;&gt;"",25%,0)+IF(G8&lt;&gt;"",15%,0)+IF(I8&lt;&gt;"",20%,0)+IF(K8&lt;&gt;"",20%,0)+IF(L8&lt;&gt;"",10%,0))</x:f>
        <x:v>0</x:v>
      </x:c>
      <x:c r="N8" s="51" t="s">
        <x:v>124</x:v>
      </x:c>
    </x:row>
    <x:row r="9" spans="1:14">
      <x:c r="A9" s="54" t="s">
        <x:v>185</x:v>
      </x:c>
      <x:c r="B9" s="54" t="s">
        <x:v>152</x:v>
      </x:c>
      <x:c r="C9" s="54" t="s">
        <x:v>111</x:v>
      </x:c>
      <x:c r="D9" s="54" t="s">
        <x:v>121</x:v>
      </x:c>
      <x:c r="E9" s="55"/>
      <x:c r="F9" s="55"/>
      <x:c r="G9" s="55"/>
      <x:c r="H9" s="55"/>
      <x:c r="I9" s="55"/>
      <x:c r="J9" s="55"/>
      <x:c r="K9" s="55"/>
      <x:c r="L9" s="55"/>
      <x:c r="M9" s="56">
        <x:f>IF(A9="","",IF(E9&lt;&gt;"",10%,0)+IF(F9&lt;&gt;"",25%,0)+IF(G9&lt;&gt;"",15%,0)+IF(I9&lt;&gt;"",20%,0)+IF(K9&lt;&gt;"",20%,0)+IF(L9&lt;&gt;"",10%,0))</x:f>
        <x:v>0</x:v>
      </x:c>
      <x:c r="N9" s="54" t="s">
        <x:v>13</x:v>
      </x:c>
    </x:row>
    <x:row r="10" spans="1:14">
      <x:c r="A10" s="54" t="s">
        <x:v>186</x:v>
      </x:c>
      <x:c r="B10" s="54" t="s">
        <x:v>152</x:v>
      </x:c>
      <x:c r="C10" s="54" t="s">
        <x:v>102</x:v>
      </x:c>
      <x:c r="D10" s="54" t="s">
        <x:v>121</x:v>
      </x:c>
      <x:c r="E10" s="55"/>
      <x:c r="F10" s="55"/>
      <x:c r="G10" s="55"/>
      <x:c r="H10" s="55"/>
      <x:c r="I10" s="55"/>
      <x:c r="J10" s="55"/>
      <x:c r="K10" s="55"/>
      <x:c r="L10" s="55"/>
      <x:c r="M10" s="56">
        <x:f>IF(A10="","",IF(E10&lt;&gt;"",10%,0)+IF(F10&lt;&gt;"",25%,0)+IF(G10&lt;&gt;"",15%,0)+IF(I10&lt;&gt;"",20%,0)+IF(K10&lt;&gt;"",20%,0)+IF(L10&lt;&gt;"",10%,0))</x:f>
        <x:v>0</x:v>
      </x:c>
      <x:c r="N10" s="54" t="s">
        <x:v>13</x:v>
      </x:c>
    </x:row>
    <x:row r="11" spans="1:14">
      <x:c r="A11" s="57" t="s">
        <x:v>187</x:v>
      </x:c>
      <x:c r="B11" s="57" t="s">
        <x:v>153</x:v>
      </x:c>
      <x:c r="C11" s="57" t="s">
        <x:v>149</x:v>
      </x:c>
      <x:c r="D11" s="57" t="s">
        <x:v>5</x:v>
      </x:c>
      <x:c r="E11" s="58"/>
      <x:c r="F11" s="58"/>
      <x:c r="G11" s="58"/>
      <x:c r="H11" s="58"/>
      <x:c r="I11" s="58"/>
      <x:c r="J11" s="58"/>
      <x:c r="K11" s="58"/>
      <x:c r="L11" s="58"/>
      <x:c r="M11" s="59">
        <x:f>IF(A11="","",IF(E11&lt;&gt;"",10%,0)+IF(F11&lt;&gt;"",25%,0)+IF(G11&lt;&gt;"",15%,0)+IF(I11&lt;&gt;"",20%,0)+IF(K11&lt;&gt;"",20%,0)+IF(L11&lt;&gt;"",10%,0))</x:f>
        <x:v>0</x:v>
      </x:c>
      <x:c r="N11" s="57" t="s">
        <x:v>13</x:v>
      </x:c>
    </x:row>
    <x:row r="12" spans="1:14">
      <x:c r="A12" s="57" t="s">
        <x:v>192</x:v>
      </x:c>
      <x:c r="B12" s="57" t="s">
        <x:v>153</x:v>
      </x:c>
      <x:c r="C12" s="57" t="s">
        <x:v>149</x:v>
      </x:c>
      <x:c r="D12" s="57" t="s">
        <x:v>154</x:v>
      </x:c>
      <x:c r="E12" s="58"/>
      <x:c r="F12" s="58"/>
      <x:c r="G12" s="58"/>
      <x:c r="H12" s="58"/>
      <x:c r="I12" s="58"/>
      <x:c r="J12" s="58"/>
      <x:c r="K12" s="58"/>
      <x:c r="L12" s="58"/>
      <x:c r="M12" s="59">
        <x:f>IF(A12="","",IF(E12&lt;&gt;"",10%,0)+IF(F12&lt;&gt;"",25%,0)+IF(G12&lt;&gt;"",15%,0)+IF(I12&lt;&gt;"",20%,0)+IF(K12&lt;&gt;"",20%,0)+IF(L12&lt;&gt;"",10%,0))</x:f>
        <x:v>0</x:v>
      </x:c>
      <x:c r="N12" s="57" t="s">
        <x:v>13</x:v>
      </x:c>
    </x:row>
    <x:row r="13" spans="1:14">
      <x:c r="A13" s="57" t="s">
        <x:v>193</x:v>
      </x:c>
      <x:c r="B13" s="57" t="s">
        <x:v>153</x:v>
      </x:c>
      <x:c r="C13" s="57" t="s">
        <x:v>112</x:v>
      </x:c>
      <x:c r="D13" s="57" t="s">
        <x:v>155</x:v>
      </x:c>
      <x:c r="E13" s="58"/>
      <x:c r="F13" s="58"/>
      <x:c r="G13" s="58"/>
      <x:c r="H13" s="58"/>
      <x:c r="I13" s="58"/>
      <x:c r="J13" s="58"/>
      <x:c r="K13" s="58"/>
      <x:c r="L13" s="58"/>
      <x:c r="M13" s="59">
        <x:f>IF(A13="","",IF(E13&lt;&gt;"",10%,0)+IF(F13&lt;&gt;"",25%,0)+IF(G13&lt;&gt;"",15%,0)+IF(I13&lt;&gt;"",20%,0)+IF(K13&lt;&gt;"",20%,0)+IF(L13&lt;&gt;"",10%,0))</x:f>
        <x:v>0</x:v>
      </x:c>
      <x:c r="N13" s="57" t="s">
        <x:v>13</x:v>
      </x:c>
    </x:row>
    <x:row r="14" spans="1:14">
      <x:c r="A14" s="57" t="s">
        <x:v>174</x:v>
      </x:c>
      <x:c r="B14" s="57" t="s">
        <x:v>153</x:v>
      </x:c>
      <x:c r="C14" s="57" t="s">
        <x:v>96</x:v>
      </x:c>
      <x:c r="D14" s="57" t="s">
        <x:v>155</x:v>
      </x:c>
      <x:c r="E14" s="58"/>
      <x:c r="F14" s="58"/>
      <x:c r="G14" s="58"/>
      <x:c r="H14" s="58"/>
      <x:c r="I14" s="58"/>
      <x:c r="J14" s="58"/>
      <x:c r="K14" s="58"/>
      <x:c r="L14" s="58"/>
      <x:c r="M14" s="59">
        <x:f>IF(A14="","",IF(E14&lt;&gt;"",10%,0)+IF(F14&lt;&gt;"",25%,0)+IF(G14&lt;&gt;"",15%,0)+IF(I14&lt;&gt;"",20%,0)+IF(K14&lt;&gt;"",20%,0)+IF(L14&lt;&gt;"",10%,0))</x:f>
        <x:v>0</x:v>
      </x:c>
      <x:c r="N14" s="57" t="s">
        <x:v>13</x:v>
      </x:c>
    </x:row>
    <x:row r="15" spans="1:14">
      <x:c r="A15" s="57" t="s">
        <x:v>175</x:v>
      </x:c>
      <x:c r="B15" s="57" t="s">
        <x:v>153</x:v>
      </x:c>
      <x:c r="C15" s="57" t="s">
        <x:v>98</x:v>
      </x:c>
      <x:c r="D15" s="57" t="s">
        <x:v>155</x:v>
      </x:c>
      <x:c r="E15" s="58"/>
      <x:c r="F15" s="58"/>
      <x:c r="G15" s="58"/>
      <x:c r="H15" s="58"/>
      <x:c r="I15" s="58"/>
      <x:c r="J15" s="58"/>
      <x:c r="K15" s="58"/>
      <x:c r="L15" s="58"/>
      <x:c r="M15" s="59">
        <x:f>IF(A15="","",IF(E15&lt;&gt;"",10%,0)+IF(F15&lt;&gt;"",25%,0)+IF(G15&lt;&gt;"",15%,0)+IF(I15&lt;&gt;"",20%,0)+IF(K15&lt;&gt;"",20%,0)+IF(L15&lt;&gt;"",10%,0))</x:f>
        <x:v>0</x:v>
      </x:c>
      <x:c r="N15" s="57" t="s">
        <x:v>13</x:v>
      </x:c>
    </x:row>
    <x:row r="16" spans="1:14">
      <x:c r="A16" s="60" t="s">
        <x:v>198</x:v>
      </x:c>
      <x:c r="B16" s="60" t="s">
        <x:v>200</x:v>
      </x:c>
      <x:c r="C16" s="60" t="s">
        <x:v>150</x:v>
      </x:c>
      <x:c r="D16" s="60" t="s">
        <x:v>156</x:v>
      </x:c>
      <x:c r="E16" s="61"/>
      <x:c r="F16" s="61"/>
      <x:c r="G16" s="61"/>
      <x:c r="H16" s="61"/>
      <x:c r="I16" s="61"/>
      <x:c r="J16" s="61"/>
      <x:c r="K16" s="61"/>
      <x:c r="L16" s="61"/>
      <x:c r="M16" s="62">
        <x:f>IF(A16="","",IF(E16&lt;&gt;"",10%,0)+IF(F16&lt;&gt;"",25%,0)+IF(G16&lt;&gt;"",15%,0)+IF(I16&lt;&gt;"",20%,0)+IF(K16&lt;&gt;"",20%,0)+IF(L16&lt;&gt;"",10%,0))</x:f>
        <x:v>0</x:v>
      </x:c>
      <x:c r="N16" s="60" t="s">
        <x:v>125</x:v>
      </x:c>
    </x:row>
    <x:row r="17" spans="1:14">
      <x:c r="A17" s="63" t="s">
        <x:v>203</x:v>
      </x:c>
      <x:c r="B17" s="63" t="s">
        <x:v>8</x:v>
      </x:c>
      <x:c r="C17" s="63" t="s">
        <x:v>149</x:v>
      </x:c>
      <x:c r="D17" s="63" t="s">
        <x:v>123</x:v>
      </x:c>
      <x:c r="E17" s="64"/>
      <x:c r="F17" s="64"/>
      <x:c r="G17" s="64"/>
      <x:c r="H17" s="64"/>
      <x:c r="I17" s="64"/>
      <x:c r="J17" s="64"/>
      <x:c r="K17" s="64"/>
      <x:c r="L17" s="64"/>
      <x:c r="M17" s="65">
        <x:f>IF(A17="","",IF(E17&lt;&gt;"",10%,0)+IF(F17&lt;&gt;"",25%,0)+IF(G17&lt;&gt;"",15%,0)+IF(I17&lt;&gt;"",20%,0)+IF(K17&lt;&gt;"",20%,0)+IF(L17&lt;&gt;"",10%,0))</x:f>
        <x:v>0</x:v>
      </x:c>
      <x:c r="N17" s="63" t="s">
        <x:v>120</x:v>
      </x:c>
    </x:row>
    <x:row r="18" spans="1:14">
      <x:c r="A18" s="66"/>
      <x:c r="B18" s="66"/>
      <x:c r="C18" s="66"/>
      <x:c r="D18" s="66"/>
      <x:c r="E18" s="67"/>
      <x:c r="F18" s="67"/>
      <x:c r="G18" s="67"/>
      <x:c r="H18" s="67"/>
      <x:c r="I18" s="67"/>
      <x:c r="J18" s="67"/>
      <x:c r="K18" s="67"/>
      <x:c r="L18" s="67"/>
      <x:c r="M18" s="68" t="str">
        <x:f>IF(A18="","",IF(E18&lt;&gt;"",10%,0)+IF(F18&lt;&gt;"",25%,0)+IF(G18&lt;&gt;"",15%,0)+IF(I18&lt;&gt;"",20%,0)+IF(K18&lt;&gt;"",20%,0)+IF(L18&lt;&gt;"",10%,0))</x:f>
        <x:v/>
      </x:c>
      <x:c r="N18" s="66"/>
    </x:row>
    <x:row r="19" spans="1:14">
      <x:c r="A19" s="66"/>
      <x:c r="B19" s="66"/>
      <x:c r="C19" s="66"/>
      <x:c r="D19" s="66"/>
      <x:c r="E19" s="67"/>
      <x:c r="F19" s="67"/>
      <x:c r="G19" s="67"/>
      <x:c r="H19" s="67"/>
      <x:c r="I19" s="67"/>
      <x:c r="J19" s="67"/>
      <x:c r="K19" s="67"/>
      <x:c r="L19" s="67"/>
      <x:c r="M19" s="68" t="str">
        <x:f>IF(A19="","",IF(E19&lt;&gt;"",10%,0)+IF(F19&lt;&gt;"",25%,0)+IF(G19&lt;&gt;"",15%,0)+IF(I19&lt;&gt;"",20%,0)+IF(K19&lt;&gt;"",20%,0)+IF(L19&lt;&gt;"",10%,0))</x:f>
        <x:v/>
      </x:c>
      <x:c r="N19" s="66"/>
    </x:row>
    <x:row r="20" spans="1:14">
      <x:c r="A20" s="66"/>
      <x:c r="B20" s="66"/>
      <x:c r="C20" s="66"/>
      <x:c r="D20" s="66"/>
      <x:c r="E20" s="67"/>
      <x:c r="F20" s="67"/>
      <x:c r="G20" s="67"/>
      <x:c r="H20" s="67"/>
      <x:c r="I20" s="67"/>
      <x:c r="J20" s="67"/>
      <x:c r="K20" s="67"/>
      <x:c r="L20" s="67"/>
      <x:c r="M20" s="68" t="str">
        <x:f>IF(A20="","",IF(E20&lt;&gt;"",10%,0)+IF(F20&lt;&gt;"",25%,0)+IF(G20&lt;&gt;"",15%,0)+IF(I20&lt;&gt;"",20%,0)+IF(K20&lt;&gt;"",20%,0)+IF(L20&lt;&gt;"",10%,0))</x:f>
        <x:v/>
      </x:c>
      <x:c r="N20" s="66"/>
    </x:row>
    <x:row r="21" spans="1:14">
      <x:c r="A21" s="66"/>
      <x:c r="B21" s="66"/>
      <x:c r="C21" s="66"/>
      <x:c r="D21" s="66"/>
      <x:c r="E21" s="67"/>
      <x:c r="F21" s="67"/>
      <x:c r="G21" s="67"/>
      <x:c r="H21" s="67"/>
      <x:c r="I21" s="67"/>
      <x:c r="J21" s="67"/>
      <x:c r="K21" s="67"/>
      <x:c r="L21" s="67"/>
      <x:c r="M21" s="68" t="str">
        <x:f>IF(A21="","",IF(E21&lt;&gt;"",10%,0)+IF(F21&lt;&gt;"",25%,0)+IF(G21&lt;&gt;"",15%,0)+IF(I21&lt;&gt;"",20%,0)+IF(K21&lt;&gt;"",20%,0)+IF(L21&lt;&gt;"",10%,0))</x:f>
        <x:v/>
      </x:c>
      <x:c r="N21" s="66"/>
    </x:row>
    <x:row r="22" spans="1:14">
      <x:c r="A22" s="66"/>
      <x:c r="B22" s="66"/>
      <x:c r="C22" s="66"/>
      <x:c r="D22" s="66"/>
      <x:c r="E22" s="67"/>
      <x:c r="F22" s="67"/>
      <x:c r="G22" s="67"/>
      <x:c r="H22" s="67"/>
      <x:c r="I22" s="67"/>
      <x:c r="J22" s="67"/>
      <x:c r="K22" s="67"/>
      <x:c r="L22" s="67"/>
      <x:c r="M22" s="68" t="str">
        <x:f>IF(A22="","",IF(E22&lt;&gt;"",10%,0)+IF(F22&lt;&gt;"",25%,0)+IF(G22&lt;&gt;"",15%,0)+IF(I22&lt;&gt;"",20%,0)+IF(K22&lt;&gt;"",20%,0)+IF(L22&lt;&gt;"",10%,0))</x:f>
        <x:v/>
      </x:c>
      <x:c r="N22" s="66"/>
    </x:row>
    <x:row r="23" spans="1:14">
      <x:c r="A23" s="66"/>
      <x:c r="B23" s="66"/>
      <x:c r="C23" s="66"/>
      <x:c r="D23" s="66"/>
      <x:c r="E23" s="67"/>
      <x:c r="F23" s="67"/>
      <x:c r="G23" s="67"/>
      <x:c r="H23" s="67"/>
      <x:c r="I23" s="67"/>
      <x:c r="J23" s="67"/>
      <x:c r="K23" s="67"/>
      <x:c r="L23" s="67"/>
      <x:c r="M23" s="68" t="str">
        <x:f>IF(A23="","",IF(E23&lt;&gt;"",10%,0)+IF(F23&lt;&gt;"",25%,0)+IF(G23&lt;&gt;"",15%,0)+IF(I23&lt;&gt;"",20%,0)+IF(K23&lt;&gt;"",20%,0)+IF(L23&lt;&gt;"",10%,0))</x:f>
        <x:v/>
      </x:c>
      <x:c r="N23" s="66"/>
    </x:row>
    <x:row r="24" spans="1:14">
      <x:c r="A24" s="66"/>
      <x:c r="B24" s="66"/>
      <x:c r="C24" s="66"/>
      <x:c r="D24" s="66"/>
      <x:c r="E24" s="67"/>
      <x:c r="F24" s="67"/>
      <x:c r="G24" s="67"/>
      <x:c r="H24" s="67"/>
      <x:c r="I24" s="67"/>
      <x:c r="J24" s="67"/>
      <x:c r="K24" s="67"/>
      <x:c r="L24" s="67"/>
      <x:c r="M24" s="68" t="str">
        <x:f>IF(A24="","",IF(E24&lt;&gt;"",10%,0)+IF(F24&lt;&gt;"",25%,0)+IF(G24&lt;&gt;"",15%,0)+IF(I24&lt;&gt;"",20%,0)+IF(K24&lt;&gt;"",20%,0)+IF(L24&lt;&gt;"",10%,0))</x:f>
        <x:v/>
      </x:c>
      <x:c r="N24" s="66"/>
    </x:row>
    <x:row r="25" spans="1:14">
      <x:c r="A25" s="66"/>
      <x:c r="B25" s="66"/>
      <x:c r="C25" s="66"/>
      <x:c r="D25" s="66"/>
      <x:c r="E25" s="67"/>
      <x:c r="F25" s="67"/>
      <x:c r="G25" s="67"/>
      <x:c r="H25" s="67"/>
      <x:c r="I25" s="67"/>
      <x:c r="J25" s="67"/>
      <x:c r="K25" s="67"/>
      <x:c r="L25" s="67"/>
      <x:c r="M25" s="68" t="str">
        <x:f>IF(A25="","",IF(E25&lt;&gt;"",10%,0)+IF(F25&lt;&gt;"",25%,0)+IF(G25&lt;&gt;"",15%,0)+IF(I25&lt;&gt;"",20%,0)+IF(K25&lt;&gt;"",20%,0)+IF(L25&lt;&gt;"",10%,0))</x:f>
        <x:v/>
      </x:c>
      <x:c r="N25" s="66"/>
    </x:row>
    <x:row r="26" spans="1:14">
      <x:c r="A26" s="66"/>
      <x:c r="B26" s="66"/>
      <x:c r="C26" s="66"/>
      <x:c r="D26" s="66"/>
      <x:c r="E26" s="67"/>
      <x:c r="F26" s="67"/>
      <x:c r="G26" s="67"/>
      <x:c r="H26" s="67"/>
      <x:c r="I26" s="67"/>
      <x:c r="J26" s="67"/>
      <x:c r="K26" s="67"/>
      <x:c r="L26" s="67"/>
      <x:c r="M26" s="68" t="str">
        <x:f>IF(A26="","",IF(E26&lt;&gt;"",10%,0)+IF(F26&lt;&gt;"",25%,0)+IF(G26&lt;&gt;"",15%,0)+IF(I26&lt;&gt;"",20%,0)+IF(K26&lt;&gt;"",20%,0)+IF(L26&lt;&gt;"",10%,0))</x:f>
        <x:v/>
      </x:c>
      <x:c r="N26" s="66"/>
    </x:row>
    <x:row r="27" spans="1:14">
      <x:c r="A27" s="66"/>
      <x:c r="B27" s="66"/>
      <x:c r="C27" s="66"/>
      <x:c r="D27" s="66"/>
      <x:c r="E27" s="67"/>
      <x:c r="F27" s="67"/>
      <x:c r="G27" s="67"/>
      <x:c r="H27" s="67"/>
      <x:c r="I27" s="67"/>
      <x:c r="J27" s="67"/>
      <x:c r="K27" s="67"/>
      <x:c r="L27" s="67"/>
      <x:c r="M27" s="68" t="str">
        <x:f>IF(A27="","",IF(E27&lt;&gt;"",10%,0)+IF(F27&lt;&gt;"",25%,0)+IF(G27&lt;&gt;"",15%,0)+IF(I27&lt;&gt;"",20%,0)+IF(K27&lt;&gt;"",20%,0)+IF(L27&lt;&gt;"",10%,0))</x:f>
        <x:v/>
      </x:c>
      <x:c r="N27" s="66"/>
    </x:row>
    <x:row r="28" spans="1:14">
      <x:c r="A28" s="66"/>
      <x:c r="B28" s="66"/>
      <x:c r="C28" s="66"/>
      <x:c r="D28" s="66"/>
      <x:c r="E28" s="67"/>
      <x:c r="F28" s="67"/>
      <x:c r="G28" s="67"/>
      <x:c r="H28" s="67"/>
      <x:c r="I28" s="67"/>
      <x:c r="J28" s="67"/>
      <x:c r="K28" s="67"/>
      <x:c r="L28" s="67"/>
      <x:c r="M28" s="68" t="str">
        <x:f>IF(A28="","",IF(E28&lt;&gt;"",10%,0)+IF(F28&lt;&gt;"",25%,0)+IF(G28&lt;&gt;"",15%,0)+IF(I28&lt;&gt;"",20%,0)+IF(K28&lt;&gt;"",20%,0)+IF(L28&lt;&gt;"",10%,0))</x:f>
        <x:v/>
      </x:c>
      <x:c r="N28" s="66"/>
    </x:row>
    <x:row r="29" spans="1:14">
      <x:c r="A29" s="66"/>
      <x:c r="B29" s="66"/>
      <x:c r="C29" s="66"/>
      <x:c r="D29" s="66"/>
      <x:c r="E29" s="67"/>
      <x:c r="F29" s="67"/>
      <x:c r="G29" s="67"/>
      <x:c r="H29" s="67"/>
      <x:c r="I29" s="67"/>
      <x:c r="J29" s="67"/>
      <x:c r="K29" s="67"/>
      <x:c r="L29" s="67"/>
      <x:c r="M29" s="68" t="str">
        <x:f>IF(A29="","",IF(E29&lt;&gt;"",10%,0)+IF(F29&lt;&gt;"",25%,0)+IF(G29&lt;&gt;"",15%,0)+IF(I29&lt;&gt;"",20%,0)+IF(K29&lt;&gt;"",20%,0)+IF(L29&lt;&gt;"",10%,0))</x:f>
        <x:v/>
      </x:c>
      <x:c r="N29" s="66"/>
    </x:row>
    <x:row r="30" spans="1:14">
      <x:c r="A30" s="66"/>
      <x:c r="B30" s="66"/>
      <x:c r="C30" s="66"/>
      <x:c r="D30" s="66"/>
      <x:c r="E30" s="67"/>
      <x:c r="F30" s="67"/>
      <x:c r="G30" s="67"/>
      <x:c r="H30" s="67"/>
      <x:c r="I30" s="67"/>
      <x:c r="J30" s="67"/>
      <x:c r="K30" s="67"/>
      <x:c r="L30" s="67"/>
      <x:c r="M30" s="68" t="str">
        <x:f>IF(A30="","",IF(E30&lt;&gt;"",10%,0)+IF(F30&lt;&gt;"",25%,0)+IF(G30&lt;&gt;"",15%,0)+IF(I30&lt;&gt;"",20%,0)+IF(K30&lt;&gt;"",20%,0)+IF(L30&lt;&gt;"",10%,0))</x:f>
        <x:v/>
      </x:c>
      <x:c r="N30" s="66"/>
    </x:row>
    <x:row r="31" spans="1:14">
      <x:c r="A31" s="66"/>
      <x:c r="B31" s="66"/>
      <x:c r="C31" s="66"/>
      <x:c r="D31" s="66"/>
      <x:c r="E31" s="67"/>
      <x:c r="F31" s="67"/>
      <x:c r="G31" s="67"/>
      <x:c r="H31" s="67"/>
      <x:c r="I31" s="67"/>
      <x:c r="J31" s="67"/>
      <x:c r="K31" s="67"/>
      <x:c r="L31" s="67"/>
      <x:c r="M31" s="68" t="str">
        <x:f>IF(A31="","",IF(E31&lt;&gt;"",10%,0)+IF(F31&lt;&gt;"",25%,0)+IF(G31&lt;&gt;"",15%,0)+IF(I31&lt;&gt;"",20%,0)+IF(K31&lt;&gt;"",20%,0)+IF(L31&lt;&gt;"",10%,0))</x:f>
        <x:v/>
      </x:c>
      <x:c r="N31" s="66"/>
    </x:row>
    <x:row r="32" spans="1:14">
      <x:c r="A32" s="66"/>
      <x:c r="B32" s="66"/>
      <x:c r="C32" s="66"/>
      <x:c r="D32" s="66"/>
      <x:c r="E32" s="67"/>
      <x:c r="F32" s="67"/>
      <x:c r="G32" s="67"/>
      <x:c r="H32" s="67"/>
      <x:c r="I32" s="67"/>
      <x:c r="J32" s="67"/>
      <x:c r="K32" s="67"/>
      <x:c r="L32" s="67"/>
      <x:c r="M32" s="68" t="str">
        <x:f>IF(A32="","",IF(E32&lt;&gt;"",10%,0)+IF(F32&lt;&gt;"",25%,0)+IF(G32&lt;&gt;"",15%,0)+IF(I32&lt;&gt;"",20%,0)+IF(K32&lt;&gt;"",20%,0)+IF(L32&lt;&gt;"",10%,0))</x:f>
        <x:v/>
      </x:c>
      <x:c r="N32" s="66"/>
    </x:row>
    <x:row r="33" spans="1:14">
      <x:c r="A33" s="66"/>
      <x:c r="B33" s="66"/>
      <x:c r="C33" s="66"/>
      <x:c r="D33" s="66"/>
      <x:c r="E33" s="67"/>
      <x:c r="F33" s="67"/>
      <x:c r="G33" s="67"/>
      <x:c r="H33" s="67"/>
      <x:c r="I33" s="67"/>
      <x:c r="J33" s="67"/>
      <x:c r="K33" s="67"/>
      <x:c r="L33" s="67"/>
      <x:c r="M33" s="68" t="str">
        <x:f>IF(A33="","",IF(E33&lt;&gt;"",10%,0)+IF(F33&lt;&gt;"",25%,0)+IF(G33&lt;&gt;"",15%,0)+IF(I33&lt;&gt;"",20%,0)+IF(K33&lt;&gt;"",20%,0)+IF(L33&lt;&gt;"",10%,0))</x:f>
        <x:v/>
      </x:c>
      <x:c r="N33" s="66"/>
    </x:row>
    <x:row r="34" spans="1:14">
      <x:c r="A34" s="66"/>
      <x:c r="B34" s="66"/>
      <x:c r="C34" s="66"/>
      <x:c r="D34" s="66"/>
      <x:c r="E34" s="67"/>
      <x:c r="F34" s="67"/>
      <x:c r="G34" s="67"/>
      <x:c r="H34" s="67"/>
      <x:c r="I34" s="67"/>
      <x:c r="J34" s="67"/>
      <x:c r="K34" s="67"/>
      <x:c r="L34" s="67"/>
      <x:c r="M34" s="68" t="str">
        <x:f>IF(A34="","",IF(E34&lt;&gt;"",10%,0)+IF(F34&lt;&gt;"",25%,0)+IF(G34&lt;&gt;"",15%,0)+IF(I34&lt;&gt;"",20%,0)+IF(K34&lt;&gt;"",20%,0)+IF(L34&lt;&gt;"",10%,0))</x:f>
        <x:v/>
      </x:c>
      <x:c r="N34" s="66"/>
    </x:row>
    <x:row r="35" spans="1:14">
      <x:c r="A35" s="66"/>
      <x:c r="B35" s="66"/>
      <x:c r="C35" s="66"/>
      <x:c r="D35" s="66"/>
      <x:c r="E35" s="67"/>
      <x:c r="F35" s="67"/>
      <x:c r="G35" s="67"/>
      <x:c r="H35" s="67"/>
      <x:c r="I35" s="67"/>
      <x:c r="J35" s="67"/>
      <x:c r="K35" s="67"/>
      <x:c r="L35" s="67"/>
      <x:c r="M35" s="68" t="str">
        <x:f>IF(A35="","",IF(E35&lt;&gt;"",10%,0)+IF(F35&lt;&gt;"",25%,0)+IF(G35&lt;&gt;"",15%,0)+IF(I35&lt;&gt;"",20%,0)+IF(K35&lt;&gt;"",20%,0)+IF(L35&lt;&gt;"",10%,0))</x:f>
        <x:v/>
      </x:c>
      <x:c r="N35" s="66"/>
    </x:row>
    <x:row r="36" spans="1:14">
      <x:c r="A36" s="66"/>
      <x:c r="B36" s="66"/>
      <x:c r="C36" s="66"/>
      <x:c r="D36" s="66"/>
      <x:c r="E36" s="67"/>
      <x:c r="F36" s="67"/>
      <x:c r="G36" s="67"/>
      <x:c r="H36" s="67"/>
      <x:c r="I36" s="67"/>
      <x:c r="J36" s="67"/>
      <x:c r="K36" s="67"/>
      <x:c r="L36" s="67"/>
      <x:c r="M36" s="68" t="str">
        <x:f>IF(A36="","",IF(E36&lt;&gt;"",10%,0)+IF(F36&lt;&gt;"",25%,0)+IF(G36&lt;&gt;"",15%,0)+IF(I36&lt;&gt;"",20%,0)+IF(K36&lt;&gt;"",20%,0)+IF(L36&lt;&gt;"",10%,0))</x:f>
        <x:v/>
      </x:c>
      <x:c r="N36" s="66"/>
    </x:row>
    <x:row r="37" spans="1:14">
      <x:c r="A37" s="66"/>
      <x:c r="B37" s="66"/>
      <x:c r="C37" s="66"/>
      <x:c r="D37" s="66"/>
      <x:c r="E37" s="67"/>
      <x:c r="F37" s="67"/>
      <x:c r="G37" s="67"/>
      <x:c r="H37" s="67"/>
      <x:c r="I37" s="67"/>
      <x:c r="J37" s="67"/>
      <x:c r="K37" s="67"/>
      <x:c r="L37" s="67"/>
      <x:c r="M37" s="68" t="str">
        <x:f>IF(A37="","",IF(E37&lt;&gt;"",10%,0)+IF(F37&lt;&gt;"",25%,0)+IF(G37&lt;&gt;"",15%,0)+IF(I37&lt;&gt;"",20%,0)+IF(K37&lt;&gt;"",20%,0)+IF(L37&lt;&gt;"",10%,0))</x:f>
        <x:v/>
      </x:c>
      <x:c r="N37" s="66"/>
    </x:row>
    <x:row r="38" spans="1:14">
      <x:c r="A38" s="66"/>
      <x:c r="B38" s="66"/>
      <x:c r="C38" s="66"/>
      <x:c r="D38" s="66"/>
      <x:c r="E38" s="67"/>
      <x:c r="F38" s="67"/>
      <x:c r="G38" s="67"/>
      <x:c r="H38" s="67"/>
      <x:c r="I38" s="67"/>
      <x:c r="J38" s="67"/>
      <x:c r="K38" s="67"/>
      <x:c r="L38" s="67"/>
      <x:c r="M38" s="68" t="str">
        <x:f>IF(A38="","",IF(E38&lt;&gt;"",10%,0)+IF(F38&lt;&gt;"",25%,0)+IF(G38&lt;&gt;"",15%,0)+IF(I38&lt;&gt;"",20%,0)+IF(K38&lt;&gt;"",20%,0)+IF(L38&lt;&gt;"",10%,0))</x:f>
        <x:v/>
      </x:c>
      <x:c r="N38" s="66"/>
    </x:row>
    <x:row r="39" spans="1:14">
      <x:c r="A39" s="66"/>
      <x:c r="B39" s="66"/>
      <x:c r="C39" s="66"/>
      <x:c r="D39" s="66"/>
      <x:c r="E39" s="67"/>
      <x:c r="F39" s="67"/>
      <x:c r="G39" s="67"/>
      <x:c r="H39" s="67"/>
      <x:c r="I39" s="67"/>
      <x:c r="J39" s="67"/>
      <x:c r="K39" s="67"/>
      <x:c r="L39" s="67"/>
      <x:c r="M39" s="68" t="str">
        <x:f>IF(A39="","",IF(E39&lt;&gt;"",10%,0)+IF(F39&lt;&gt;"",25%,0)+IF(G39&lt;&gt;"",15%,0)+IF(I39&lt;&gt;"",20%,0)+IF(K39&lt;&gt;"",20%,0)+IF(L39&lt;&gt;"",10%,0))</x:f>
        <x:v/>
      </x:c>
      <x:c r="N39" s="66"/>
    </x:row>
    <x:row r="40" spans="1:14">
      <x:c r="A40" s="66"/>
      <x:c r="B40" s="66"/>
      <x:c r="C40" s="66"/>
      <x:c r="D40" s="66"/>
      <x:c r="E40" s="67"/>
      <x:c r="F40" s="67"/>
      <x:c r="G40" s="67"/>
      <x:c r="H40" s="67"/>
      <x:c r="I40" s="67"/>
      <x:c r="J40" s="67"/>
      <x:c r="K40" s="67"/>
      <x:c r="L40" s="67"/>
      <x:c r="M40" s="68" t="str">
        <x:f>IF(A40="","",IF(E40&lt;&gt;"",10%,0)+IF(F40&lt;&gt;"",25%,0)+IF(G40&lt;&gt;"",15%,0)+IF(I40&lt;&gt;"",20%,0)+IF(K40&lt;&gt;"",20%,0)+IF(L40&lt;&gt;"",10%,0))</x:f>
        <x:v/>
      </x:c>
      <x:c r="N40" s="66"/>
    </x:row>
    <x:row r="41" spans="1:14">
      <x:c r="A41" s="66"/>
      <x:c r="B41" s="66"/>
      <x:c r="C41" s="66"/>
      <x:c r="D41" s="66"/>
      <x:c r="E41" s="67"/>
      <x:c r="F41" s="67"/>
      <x:c r="G41" s="67"/>
      <x:c r="H41" s="67"/>
      <x:c r="I41" s="67"/>
      <x:c r="J41" s="67"/>
      <x:c r="K41" s="67"/>
      <x:c r="L41" s="67"/>
      <x:c r="M41" s="68" t="str">
        <x:f>IF(A41="","",IF(E41&lt;&gt;"",10%,0)+IF(F41&lt;&gt;"",25%,0)+IF(G41&lt;&gt;"",15%,0)+IF(I41&lt;&gt;"",20%,0)+IF(K41&lt;&gt;"",20%,0)+IF(L41&lt;&gt;"",10%,0))</x:f>
        <x:v/>
      </x:c>
      <x:c r="N41" s="66"/>
    </x:row>
    <x:row r="42" spans="1:14">
      <x:c r="A42" s="66"/>
      <x:c r="B42" s="66"/>
      <x:c r="C42" s="66"/>
      <x:c r="D42" s="66"/>
      <x:c r="E42" s="67"/>
      <x:c r="F42" s="67"/>
      <x:c r="G42" s="67"/>
      <x:c r="H42" s="67"/>
      <x:c r="I42" s="67"/>
      <x:c r="J42" s="67"/>
      <x:c r="K42" s="67"/>
      <x:c r="L42" s="67"/>
      <x:c r="M42" s="68" t="str">
        <x:f>IF(A42="","",IF(E42&lt;&gt;"",10%,0)+IF(F42&lt;&gt;"",25%,0)+IF(G42&lt;&gt;"",15%,0)+IF(I42&lt;&gt;"",20%,0)+IF(K42&lt;&gt;"",20%,0)+IF(L42&lt;&gt;"",10%,0))</x:f>
        <x:v/>
      </x:c>
      <x:c r="N42" s="66"/>
    </x:row>
    <x:row r="43" spans="1:14">
      <x:c r="A43" s="66"/>
      <x:c r="B43" s="66"/>
      <x:c r="C43" s="66"/>
      <x:c r="D43" s="66"/>
      <x:c r="E43" s="67"/>
      <x:c r="F43" s="67"/>
      <x:c r="G43" s="67"/>
      <x:c r="H43" s="67"/>
      <x:c r="I43" s="67"/>
      <x:c r="J43" s="67"/>
      <x:c r="K43" s="67"/>
      <x:c r="L43" s="67"/>
      <x:c r="M43" s="68" t="str">
        <x:f>IF(A43="","",IF(E43&lt;&gt;"",10%,0)+IF(F43&lt;&gt;"",25%,0)+IF(G43&lt;&gt;"",15%,0)+IF(I43&lt;&gt;"",20%,0)+IF(K43&lt;&gt;"",20%,0)+IF(L43&lt;&gt;"",10%,0))</x:f>
        <x:v/>
      </x:c>
      <x:c r="N43" s="66"/>
    </x:row>
    <x:row r="44" spans="1:14">
      <x:c r="A44" s="66"/>
      <x:c r="B44" s="66"/>
      <x:c r="C44" s="66"/>
      <x:c r="D44" s="66"/>
      <x:c r="E44" s="67"/>
      <x:c r="F44" s="67"/>
      <x:c r="G44" s="67"/>
      <x:c r="H44" s="67"/>
      <x:c r="I44" s="67"/>
      <x:c r="J44" s="67"/>
      <x:c r="K44" s="67"/>
      <x:c r="L44" s="67"/>
      <x:c r="M44" s="68" t="str">
        <x:f>IF(A44="","",IF(E44&lt;&gt;"",10%,0)+IF(F44&lt;&gt;"",25%,0)+IF(G44&lt;&gt;"",15%,0)+IF(I44&lt;&gt;"",20%,0)+IF(K44&lt;&gt;"",20%,0)+IF(L44&lt;&gt;"",10%,0))</x:f>
        <x:v/>
      </x:c>
      <x:c r="N44" s="66"/>
    </x:row>
    <x:row r="45" spans="1:14">
      <x:c r="A45" s="66"/>
      <x:c r="B45" s="66"/>
      <x:c r="C45" s="66"/>
      <x:c r="D45" s="66"/>
      <x:c r="E45" s="67"/>
      <x:c r="F45" s="67"/>
      <x:c r="G45" s="67"/>
      <x:c r="H45" s="67"/>
      <x:c r="I45" s="67"/>
      <x:c r="J45" s="67"/>
      <x:c r="K45" s="67"/>
      <x:c r="L45" s="67"/>
      <x:c r="M45" s="68" t="str">
        <x:f>IF(A45="","",IF(E45&lt;&gt;"",10%,0)+IF(F45&lt;&gt;"",25%,0)+IF(G45&lt;&gt;"",15%,0)+IF(I45&lt;&gt;"",20%,0)+IF(K45&lt;&gt;"",20%,0)+IF(L45&lt;&gt;"",10%,0))</x:f>
        <x:v/>
      </x:c>
      <x:c r="N45" s="66"/>
    </x:row>
    <x:row r="46" spans="1:14">
      <x:c r="A46" s="66"/>
      <x:c r="B46" s="66"/>
      <x:c r="C46" s="66"/>
      <x:c r="D46" s="66"/>
      <x:c r="E46" s="67"/>
      <x:c r="F46" s="67"/>
      <x:c r="G46" s="67"/>
      <x:c r="H46" s="67"/>
      <x:c r="I46" s="67"/>
      <x:c r="J46" s="67"/>
      <x:c r="K46" s="67"/>
      <x:c r="L46" s="67"/>
      <x:c r="M46" s="68" t="str">
        <x:f>IF(A46="","",IF(E46&lt;&gt;"",10%,0)+IF(F46&lt;&gt;"",25%,0)+IF(G46&lt;&gt;"",15%,0)+IF(I46&lt;&gt;"",20%,0)+IF(K46&lt;&gt;"",20%,0)+IF(L46&lt;&gt;"",10%,0))</x:f>
        <x:v/>
      </x:c>
      <x:c r="N46" s="66"/>
    </x:row>
    <x:row r="47" spans="1:14">
      <x:c r="A47" s="66"/>
      <x:c r="B47" s="66"/>
      <x:c r="C47" s="66"/>
      <x:c r="D47" s="66"/>
      <x:c r="E47" s="67"/>
      <x:c r="F47" s="67"/>
      <x:c r="G47" s="67"/>
      <x:c r="H47" s="67"/>
      <x:c r="I47" s="67"/>
      <x:c r="J47" s="67"/>
      <x:c r="K47" s="67"/>
      <x:c r="L47" s="67"/>
      <x:c r="M47" s="68" t="str">
        <x:f>IF(A47="","",IF(E47&lt;&gt;"",10%,0)+IF(F47&lt;&gt;"",25%,0)+IF(G47&lt;&gt;"",15%,0)+IF(I47&lt;&gt;"",20%,0)+IF(K47&lt;&gt;"",20%,0)+IF(L47&lt;&gt;"",10%,0))</x:f>
        <x:v/>
      </x:c>
      <x:c r="N47" s="66"/>
    </x:row>
    <x:row r="48" spans="1:14">
      <x:c r="A48" s="66"/>
      <x:c r="B48" s="66"/>
      <x:c r="C48" s="66"/>
      <x:c r="D48" s="66"/>
      <x:c r="E48" s="67"/>
      <x:c r="F48" s="67"/>
      <x:c r="G48" s="67"/>
      <x:c r="H48" s="67"/>
      <x:c r="I48" s="67"/>
      <x:c r="J48" s="67"/>
      <x:c r="K48" s="67"/>
      <x:c r="L48" s="67"/>
      <x:c r="M48" s="68" t="str">
        <x:f>IF(A48="","",IF(E48&lt;&gt;"",10%,0)+IF(F48&lt;&gt;"",25%,0)+IF(G48&lt;&gt;"",15%,0)+IF(I48&lt;&gt;"",20%,0)+IF(K48&lt;&gt;"",20%,0)+IF(L48&lt;&gt;"",10%,0))</x:f>
        <x:v/>
      </x:c>
      <x:c r="N48" s="66"/>
    </x:row>
    <x:row r="49" spans="1:14">
      <x:c r="A49" s="66"/>
      <x:c r="B49" s="66"/>
      <x:c r="C49" s="66"/>
      <x:c r="D49" s="66"/>
      <x:c r="E49" s="67"/>
      <x:c r="F49" s="67"/>
      <x:c r="G49" s="67"/>
      <x:c r="H49" s="67"/>
      <x:c r="I49" s="67"/>
      <x:c r="J49" s="67"/>
      <x:c r="K49" s="67"/>
      <x:c r="L49" s="67"/>
      <x:c r="M49" s="68" t="str">
        <x:f>IF(A49="","",IF(E49&lt;&gt;"",10%,0)+IF(F49&lt;&gt;"",25%,0)+IF(G49&lt;&gt;"",15%,0)+IF(I49&lt;&gt;"",20%,0)+IF(K49&lt;&gt;"",20%,0)+IF(L49&lt;&gt;"",10%,0))</x:f>
        <x:v/>
      </x:c>
      <x:c r="N49" s="66"/>
    </x:row>
  </x:sheetData>
  <x:mergeCells count="2">
    <x:mergeCell ref="A1:N1"/>
    <x:mergeCell ref="A2:N2"/>
  </x:mergeCells>
  <x:conditionalFormatting sqref="M5:M4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{9A5436FE-F5EF-4075-BC61-9CD0A6719217}</x14:id>
        </x:ext>
      </x:extLst>
    </x:cfRule>
  </x:conditionalFormatting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436FE-F5EF-4075-BC61-9CD0A6719217}">
            <x14:dataBar direction="leftToRight">
              <x14:cfvo type="min"/>
              <x14:cfvo type="max"/>
            </x14:dataBar>
          </x14:cfRule>
          <xm:sqref>M5:M49</xm:sqref>
        </x14:conditionalFormatting>
      </x14:conditionalFormattings>
    </x:ext>
  </x:extLst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84"/>
  <x:sheetViews>
    <x:sheetView showGridLines="0" topLeftCell="A1" zoomScaleNormal="75" zoomScaleSheetLayoutView="100" workbookViewId="0">
      <x:selection activeCell="A1" activeCellId="0" sqref="A1:XFD1048576"/>
    </x:sheetView>
  </x:sheetViews>
  <x:sheetFormatPr defaultColWidth="8.72265625" defaultRowHeight="16.39999999999999857891"/>
  <x:cols>
    <x:col min="1" max="1" width="11.87890625" style="1" customWidth="1"/>
    <x:col min="2" max="3" width="15" style="1" customWidth="1"/>
    <x:col min="4" max="4" width="11.87890625" style="1" customWidth="1"/>
    <x:col min="5" max="5" width="35" style="1" customWidth="1"/>
    <x:col min="6" max="6" width="13.75" style="1" customWidth="1"/>
    <x:col min="7" max="8" width="22.5" style="1" customWidth="1"/>
    <x:col min="9" max="9" width="12.5" style="1" customWidth="1"/>
    <x:col min="10" max="11" width="22.5" style="1" customWidth="1"/>
    <x:col min="12" max="16384" width="8.72265625" style="1"/>
  </x:cols>
  <x:sheetData>
    <x:row r="1" spans="1:11" ht="23.5">
      <x:c r="A1" s="44" t="s">
        <x:v>212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</x:row>
    <x:row r="2" spans="1:11">
      <x:c r="A2" s="46" t="s">
        <x:v>0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</x:row>
    <x:row r="4" spans="1:11">
      <x:c r="A4" s="47" t="s">
        <x:v>54</x:v>
      </x:c>
      <x:c r="B4" s="47" t="s">
        <x:v>86</x:v>
      </x:c>
      <x:c r="C4" s="47" t="s">
        <x:v>87</x:v>
      </x:c>
      <x:c r="D4" s="47" t="s">
        <x:v>201</x:v>
      </x:c>
      <x:c r="E4" s="47" t="s">
        <x:v>196</x:v>
      </x:c>
      <x:c r="F4" s="47" t="s">
        <x:v>202</x:v>
      </x:c>
      <x:c r="G4" s="47" t="s">
        <x:v>106</x:v>
      </x:c>
      <x:c r="H4" s="47" t="s">
        <x:v>194</x:v>
      </x:c>
      <x:c r="I4" s="47" t="s">
        <x:v>50</x:v>
      </x:c>
      <x:c r="J4" s="47" t="s">
        <x:v>197</x:v>
      </x:c>
      <x:c r="K4" s="47" t="s">
        <x:v>52</x:v>
      </x:c>
    </x:row>
    <x:row r="5" spans="1:11">
      <x:c r="A5" s="67"/>
      <x:c r="B5" s="66" t="s">
        <x:v>180</x:v>
      </x:c>
      <x:c r="C5" s="66" t="s">
        <x:v>12</x:v>
      </x:c>
      <x:c r="D5" s="66" t="s">
        <x:v>53</x:v>
      </x:c>
      <x:c r="E5" s="66" t="s">
        <x:v>7</x:v>
      </x:c>
      <x:c r="F5" s="66" t="s">
        <x:v>95</x:v>
      </x:c>
      <x:c r="G5" s="66" t="s">
        <x:v>120</x:v>
      </x:c>
      <x:c r="H5" s="67"/>
      <x:c r="I5" s="66" t="s">
        <x:v>34</x:v>
      </x:c>
      <x:c r="J5" s="66"/>
      <x:c r="K5" s="66" t="s">
        <x:v>142</x:v>
      </x:c>
    </x:row>
    <x:row r="6" spans="1:11">
      <x:c r="A6" s="67"/>
      <x:c r="B6" s="66" t="s">
        <x:v>183</x:v>
      </x:c>
      <x:c r="C6" s="66" t="s">
        <x:v>110</x:v>
      </x:c>
      <x:c r="D6" s="66" t="s">
        <x:v>53</x:v>
      </x:c>
      <x:c r="E6" s="66" t="s">
        <x:v>7</x:v>
      </x:c>
      <x:c r="F6" s="66" t="s">
        <x:v>95</x:v>
      </x:c>
      <x:c r="G6" s="66" t="s">
        <x:v>120</x:v>
      </x:c>
      <x:c r="H6" s="67"/>
      <x:c r="I6" s="66" t="s">
        <x:v>34</x:v>
      </x:c>
      <x:c r="J6" s="66"/>
      <x:c r="K6" s="66" t="s">
        <x:v>142</x:v>
      </x:c>
    </x:row>
    <x:row r="7" spans="1:11">
      <x:c r="A7" s="67"/>
      <x:c r="B7" s="66" t="s">
        <x:v>182</x:v>
      </x:c>
      <x:c r="C7" s="66" t="s">
        <x:v>104</x:v>
      </x:c>
      <x:c r="D7" s="66" t="s">
        <x:v>53</x:v>
      </x:c>
      <x:c r="E7" s="66" t="s">
        <x:v>7</x:v>
      </x:c>
      <x:c r="F7" s="66" t="s">
        <x:v>95</x:v>
      </x:c>
      <x:c r="G7" s="66" t="s">
        <x:v>120</x:v>
      </x:c>
      <x:c r="H7" s="67"/>
      <x:c r="I7" s="66" t="s">
        <x:v>34</x:v>
      </x:c>
      <x:c r="J7" s="66"/>
      <x:c r="K7" s="66" t="s">
        <x:v>142</x:v>
      </x:c>
    </x:row>
    <x:row r="8" spans="1:11">
      <x:c r="A8" s="67"/>
      <x:c r="B8" s="66" t="s">
        <x:v>184</x:v>
      </x:c>
      <x:c r="C8" s="66" t="s">
        <x:v>111</x:v>
      </x:c>
      <x:c r="D8" s="66" t="s">
        <x:v>53</x:v>
      </x:c>
      <x:c r="E8" s="66" t="s">
        <x:v>7</x:v>
      </x:c>
      <x:c r="F8" s="66" t="s">
        <x:v>95</x:v>
      </x:c>
      <x:c r="G8" s="66" t="s">
        <x:v>124</x:v>
      </x:c>
      <x:c r="H8" s="67"/>
      <x:c r="I8" s="66" t="s">
        <x:v>34</x:v>
      </x:c>
      <x:c r="J8" s="66"/>
      <x:c r="K8" s="66" t="s">
        <x:v>142</x:v>
      </x:c>
    </x:row>
    <x:row r="9" spans="1:11">
      <x:c r="A9" s="67"/>
      <x:c r="B9" s="66" t="s">
        <x:v>185</x:v>
      </x:c>
      <x:c r="C9" s="66" t="s">
        <x:v>111</x:v>
      </x:c>
      <x:c r="D9" s="66" t="s">
        <x:v>53</x:v>
      </x:c>
      <x:c r="E9" s="66" t="s">
        <x:v>7</x:v>
      </x:c>
      <x:c r="F9" s="66" t="s">
        <x:v>97</x:v>
      </x:c>
      <x:c r="G9" s="66" t="s">
        <x:v>13</x:v>
      </x:c>
      <x:c r="H9" s="67"/>
      <x:c r="I9" s="66" t="s">
        <x:v>34</x:v>
      </x:c>
      <x:c r="J9" s="66"/>
      <x:c r="K9" s="66" t="s">
        <x:v>142</x:v>
      </x:c>
    </x:row>
    <x:row r="10" spans="1:11">
      <x:c r="A10" s="67"/>
      <x:c r="B10" s="66" t="s">
        <x:v>186</x:v>
      </x:c>
      <x:c r="C10" s="66" t="s">
        <x:v>102</x:v>
      </x:c>
      <x:c r="D10" s="66" t="s">
        <x:v>53</x:v>
      </x:c>
      <x:c r="E10" s="66" t="s">
        <x:v>7</x:v>
      </x:c>
      <x:c r="F10" s="66" t="s">
        <x:v>97</x:v>
      </x:c>
      <x:c r="G10" s="66" t="s">
        <x:v>13</x:v>
      </x:c>
      <x:c r="H10" s="67"/>
      <x:c r="I10" s="66" t="s">
        <x:v>34</x:v>
      </x:c>
      <x:c r="J10" s="66"/>
      <x:c r="K10" s="66" t="s">
        <x:v>142</x:v>
      </x:c>
    </x:row>
    <x:row r="11" spans="1:11">
      <x:c r="A11" s="67"/>
      <x:c r="B11" s="66" t="s">
        <x:v>187</x:v>
      </x:c>
      <x:c r="C11" s="66" t="s">
        <x:v>149</x:v>
      </x:c>
      <x:c r="D11" s="66" t="s">
        <x:v>53</x:v>
      </x:c>
      <x:c r="E11" s="66" t="s">
        <x:v>7</x:v>
      </x:c>
      <x:c r="F11" s="66" t="s">
        <x:v>97</x:v>
      </x:c>
      <x:c r="G11" s="66" t="s">
        <x:v>13</x:v>
      </x:c>
      <x:c r="H11" s="67"/>
      <x:c r="I11" s="66" t="s">
        <x:v>34</x:v>
      </x:c>
      <x:c r="J11" s="66"/>
      <x:c r="K11" s="66" t="s">
        <x:v>142</x:v>
      </x:c>
    </x:row>
    <x:row r="12" spans="1:11">
      <x:c r="A12" s="67"/>
      <x:c r="B12" s="66" t="s">
        <x:v>192</x:v>
      </x:c>
      <x:c r="C12" s="66" t="s">
        <x:v>149</x:v>
      </x:c>
      <x:c r="D12" s="66" t="s">
        <x:v>53</x:v>
      </x:c>
      <x:c r="E12" s="66" t="s">
        <x:v>7</x:v>
      </x:c>
      <x:c r="F12" s="66" t="s">
        <x:v>97</x:v>
      </x:c>
      <x:c r="G12" s="66" t="s">
        <x:v>13</x:v>
      </x:c>
      <x:c r="H12" s="67"/>
      <x:c r="I12" s="66" t="s">
        <x:v>26</x:v>
      </x:c>
      <x:c r="J12" s="66"/>
      <x:c r="K12" s="66" t="s">
        <x:v>142</x:v>
      </x:c>
    </x:row>
    <x:row r="13" spans="1:11">
      <x:c r="A13" s="67"/>
      <x:c r="B13" s="66" t="s">
        <x:v>193</x:v>
      </x:c>
      <x:c r="C13" s="66" t="s">
        <x:v>112</x:v>
      </x:c>
      <x:c r="D13" s="66" t="s">
        <x:v>53</x:v>
      </x:c>
      <x:c r="E13" s="66" t="s">
        <x:v>7</x:v>
      </x:c>
      <x:c r="F13" s="66" t="s">
        <x:v>97</x:v>
      </x:c>
      <x:c r="G13" s="66" t="s">
        <x:v>13</x:v>
      </x:c>
      <x:c r="H13" s="67"/>
      <x:c r="I13" s="66" t="s">
        <x:v>34</x:v>
      </x:c>
      <x:c r="J13" s="66"/>
      <x:c r="K13" s="66" t="s">
        <x:v>142</x:v>
      </x:c>
    </x:row>
    <x:row r="14" spans="1:11">
      <x:c r="A14" s="67"/>
      <x:c r="B14" s="66" t="s">
        <x:v>174</x:v>
      </x:c>
      <x:c r="C14" s="66" t="s">
        <x:v>96</x:v>
      </x:c>
      <x:c r="D14" s="66" t="s">
        <x:v>53</x:v>
      </x:c>
      <x:c r="E14" s="66" t="s">
        <x:v>7</x:v>
      </x:c>
      <x:c r="F14" s="66" t="s">
        <x:v>97</x:v>
      </x:c>
      <x:c r="G14" s="66" t="s">
        <x:v>13</x:v>
      </x:c>
      <x:c r="H14" s="67"/>
      <x:c r="I14" s="66" t="s">
        <x:v>34</x:v>
      </x:c>
      <x:c r="J14" s="66"/>
      <x:c r="K14" s="66" t="s">
        <x:v>142</x:v>
      </x:c>
    </x:row>
    <x:row r="15" spans="1:11">
      <x:c r="A15" s="67"/>
      <x:c r="B15" s="66" t="s">
        <x:v>175</x:v>
      </x:c>
      <x:c r="C15" s="66" t="s">
        <x:v>98</x:v>
      </x:c>
      <x:c r="D15" s="66" t="s">
        <x:v>53</x:v>
      </x:c>
      <x:c r="E15" s="66" t="s">
        <x:v>7</x:v>
      </x:c>
      <x:c r="F15" s="66" t="s">
        <x:v>97</x:v>
      </x:c>
      <x:c r="G15" s="66" t="s">
        <x:v>13</x:v>
      </x:c>
      <x:c r="H15" s="67"/>
      <x:c r="I15" s="66" t="s">
        <x:v>34</x:v>
      </x:c>
      <x:c r="J15" s="66"/>
      <x:c r="K15" s="66" t="s">
        <x:v>142</x:v>
      </x:c>
    </x:row>
    <x:row r="16" spans="1:11">
      <x:c r="A16" s="67"/>
      <x:c r="B16" s="66" t="s">
        <x:v>198</x:v>
      </x:c>
      <x:c r="C16" s="66" t="s">
        <x:v>150</x:v>
      </x:c>
      <x:c r="D16" s="66" t="s">
        <x:v>57</x:v>
      </x:c>
      <x:c r="E16" s="66" t="s">
        <x:v>7</x:v>
      </x:c>
      <x:c r="F16" s="66" t="s">
        <x:v>30</x:v>
      </x:c>
      <x:c r="G16" s="66" t="s">
        <x:v>125</x:v>
      </x:c>
      <x:c r="H16" s="67"/>
      <x:c r="I16" s="66"/>
      <x:c r="J16" s="66"/>
      <x:c r="K16" s="66" t="s">
        <x:v>142</x:v>
      </x:c>
    </x:row>
    <x:row r="17" spans="1:11">
      <x:c r="A17" s="67"/>
      <x:c r="B17" s="66" t="s">
        <x:v>203</x:v>
      </x:c>
      <x:c r="C17" s="66" t="s">
        <x:v>149</x:v>
      </x:c>
      <x:c r="D17" s="66" t="s">
        <x:v>53</x:v>
      </x:c>
      <x:c r="E17" s="66" t="s">
        <x:v>7</x:v>
      </x:c>
      <x:c r="F17" s="66" t="s">
        <x:v>95</x:v>
      </x:c>
      <x:c r="G17" s="66" t="s">
        <x:v>120</x:v>
      </x:c>
      <x:c r="H17" s="67"/>
      <x:c r="I17" s="66" t="s">
        <x:v>34</x:v>
      </x:c>
      <x:c r="J17" s="66"/>
      <x:c r="K17" s="66" t="s">
        <x:v>142</x:v>
      </x:c>
    </x:row>
    <x:row r="18" spans="1:11">
      <x:c r="A18" s="67"/>
      <x:c r="B18" s="66"/>
      <x:c r="C18" s="66"/>
      <x:c r="D18" s="66"/>
      <x:c r="E18" s="66"/>
      <x:c r="F18" s="66"/>
      <x:c r="G18" s="66"/>
      <x:c r="H18" s="67"/>
      <x:c r="I18" s="66"/>
      <x:c r="J18" s="66"/>
      <x:c r="K18" s="66"/>
    </x:row>
    <x:row r="19" spans="1:11">
      <x:c r="A19" s="67"/>
      <x:c r="B19" s="66"/>
      <x:c r="C19" s="66"/>
      <x:c r="D19" s="66"/>
      <x:c r="E19" s="66"/>
      <x:c r="F19" s="66"/>
      <x:c r="G19" s="66"/>
      <x:c r="H19" s="67"/>
      <x:c r="I19" s="66"/>
      <x:c r="J19" s="66"/>
      <x:c r="K19" s="66"/>
    </x:row>
    <x:row r="20" spans="1:11">
      <x:c r="A20" s="67"/>
      <x:c r="B20" s="66"/>
      <x:c r="C20" s="66"/>
      <x:c r="D20" s="66"/>
      <x:c r="E20" s="66"/>
      <x:c r="F20" s="66"/>
      <x:c r="G20" s="66"/>
      <x:c r="H20" s="67"/>
      <x:c r="I20" s="66"/>
      <x:c r="J20" s="66"/>
      <x:c r="K20" s="66"/>
    </x:row>
    <x:row r="21" spans="1:11">
      <x:c r="A21" s="67"/>
      <x:c r="B21" s="66"/>
      <x:c r="C21" s="66"/>
      <x:c r="D21" s="66"/>
      <x:c r="E21" s="66"/>
      <x:c r="F21" s="66"/>
      <x:c r="G21" s="66"/>
      <x:c r="H21" s="67"/>
      <x:c r="I21" s="66"/>
      <x:c r="J21" s="66"/>
      <x:c r="K21" s="66"/>
    </x:row>
    <x:row r="22" spans="1:11">
      <x:c r="A22" s="67"/>
      <x:c r="B22" s="66"/>
      <x:c r="C22" s="66"/>
      <x:c r="D22" s="66"/>
      <x:c r="E22" s="66"/>
      <x:c r="F22" s="66"/>
      <x:c r="G22" s="66"/>
      <x:c r="H22" s="67"/>
      <x:c r="I22" s="66"/>
      <x:c r="J22" s="66"/>
      <x:c r="K22" s="66"/>
    </x:row>
    <x:row r="23" spans="1:11">
      <x:c r="A23" s="67"/>
      <x:c r="B23" s="66"/>
      <x:c r="C23" s="66"/>
      <x:c r="D23" s="66"/>
      <x:c r="E23" s="66"/>
      <x:c r="F23" s="66"/>
      <x:c r="G23" s="66"/>
      <x:c r="H23" s="67"/>
      <x:c r="I23" s="66"/>
      <x:c r="J23" s="66"/>
      <x:c r="K23" s="66"/>
    </x:row>
    <x:row r="24" spans="1:11">
      <x:c r="A24" s="67"/>
      <x:c r="B24" s="66"/>
      <x:c r="C24" s="66"/>
      <x:c r="D24" s="66"/>
      <x:c r="E24" s="66"/>
      <x:c r="F24" s="66"/>
      <x:c r="G24" s="66"/>
      <x:c r="H24" s="67"/>
      <x:c r="I24" s="66"/>
      <x:c r="J24" s="66"/>
      <x:c r="K24" s="66"/>
    </x:row>
    <x:row r="25" spans="1:11">
      <x:c r="A25" s="67"/>
      <x:c r="B25" s="66"/>
      <x:c r="C25" s="66"/>
      <x:c r="D25" s="66"/>
      <x:c r="E25" s="66"/>
      <x:c r="F25" s="66"/>
      <x:c r="G25" s="66"/>
      <x:c r="H25" s="67"/>
      <x:c r="I25" s="66"/>
      <x:c r="J25" s="66"/>
      <x:c r="K25" s="66"/>
    </x:row>
    <x:row r="26" spans="1:11">
      <x:c r="A26" s="67"/>
      <x:c r="B26" s="66"/>
      <x:c r="C26" s="66"/>
      <x:c r="D26" s="66"/>
      <x:c r="E26" s="66"/>
      <x:c r="F26" s="66"/>
      <x:c r="G26" s="66"/>
      <x:c r="H26" s="67"/>
      <x:c r="I26" s="66"/>
      <x:c r="J26" s="66"/>
      <x:c r="K26" s="66"/>
    </x:row>
    <x:row r="27" spans="1:11">
      <x:c r="A27" s="67"/>
      <x:c r="B27" s="66"/>
      <x:c r="C27" s="66"/>
      <x:c r="D27" s="66"/>
      <x:c r="E27" s="66"/>
      <x:c r="F27" s="66"/>
      <x:c r="G27" s="66"/>
      <x:c r="H27" s="67"/>
      <x:c r="I27" s="66"/>
      <x:c r="J27" s="66"/>
      <x:c r="K27" s="66"/>
    </x:row>
    <x:row r="28" spans="1:11">
      <x:c r="A28" s="67"/>
      <x:c r="B28" s="66"/>
      <x:c r="C28" s="66"/>
      <x:c r="D28" s="66"/>
      <x:c r="E28" s="66"/>
      <x:c r="F28" s="66"/>
      <x:c r="G28" s="66"/>
      <x:c r="H28" s="67"/>
      <x:c r="I28" s="66"/>
      <x:c r="J28" s="66"/>
      <x:c r="K28" s="66"/>
    </x:row>
    <x:row r="29" spans="1:11">
      <x:c r="A29" s="67"/>
      <x:c r="B29" s="66"/>
      <x:c r="C29" s="66"/>
      <x:c r="D29" s="66"/>
      <x:c r="E29" s="66"/>
      <x:c r="F29" s="66"/>
      <x:c r="G29" s="66"/>
      <x:c r="H29" s="67"/>
      <x:c r="I29" s="66"/>
      <x:c r="J29" s="66"/>
      <x:c r="K29" s="66"/>
    </x:row>
    <x:row r="30" spans="1:11">
      <x:c r="A30" s="67"/>
      <x:c r="B30" s="66"/>
      <x:c r="C30" s="66"/>
      <x:c r="D30" s="66"/>
      <x:c r="E30" s="66"/>
      <x:c r="F30" s="66"/>
      <x:c r="G30" s="66"/>
      <x:c r="H30" s="67"/>
      <x:c r="I30" s="66"/>
      <x:c r="J30" s="66"/>
      <x:c r="K30" s="66"/>
    </x:row>
    <x:row r="31" spans="1:11">
      <x:c r="A31" s="67"/>
      <x:c r="B31" s="66"/>
      <x:c r="C31" s="66"/>
      <x:c r="D31" s="66"/>
      <x:c r="E31" s="66"/>
      <x:c r="F31" s="66"/>
      <x:c r="G31" s="66"/>
      <x:c r="H31" s="67"/>
      <x:c r="I31" s="66"/>
      <x:c r="J31" s="66"/>
      <x:c r="K31" s="66"/>
    </x:row>
    <x:row r="32" spans="1:11">
      <x:c r="A32" s="67"/>
      <x:c r="B32" s="66"/>
      <x:c r="C32" s="66"/>
      <x:c r="D32" s="66"/>
      <x:c r="E32" s="66"/>
      <x:c r="F32" s="66"/>
      <x:c r="G32" s="66"/>
      <x:c r="H32" s="67"/>
      <x:c r="I32" s="66"/>
      <x:c r="J32" s="66"/>
      <x:c r="K32" s="66"/>
    </x:row>
    <x:row r="33" spans="1:11">
      <x:c r="A33" s="67"/>
      <x:c r="B33" s="66"/>
      <x:c r="C33" s="66"/>
      <x:c r="D33" s="66"/>
      <x:c r="E33" s="66"/>
      <x:c r="F33" s="66"/>
      <x:c r="G33" s="66"/>
      <x:c r="H33" s="67"/>
      <x:c r="I33" s="66"/>
      <x:c r="J33" s="66"/>
      <x:c r="K33" s="66"/>
    </x:row>
    <x:row r="34" spans="1:11">
      <x:c r="A34" s="67"/>
      <x:c r="B34" s="66"/>
      <x:c r="C34" s="66"/>
      <x:c r="D34" s="66"/>
      <x:c r="E34" s="66"/>
      <x:c r="F34" s="66"/>
      <x:c r="G34" s="66"/>
      <x:c r="H34" s="67"/>
      <x:c r="I34" s="66"/>
      <x:c r="J34" s="66"/>
      <x:c r="K34" s="66"/>
    </x:row>
    <x:row r="35" spans="1:11">
      <x:c r="A35" s="67"/>
      <x:c r="B35" s="66"/>
      <x:c r="C35" s="66"/>
      <x:c r="D35" s="66"/>
      <x:c r="E35" s="66"/>
      <x:c r="F35" s="66"/>
      <x:c r="G35" s="66"/>
      <x:c r="H35" s="67"/>
      <x:c r="I35" s="66"/>
      <x:c r="J35" s="66"/>
      <x:c r="K35" s="66"/>
    </x:row>
    <x:row r="36" spans="1:11">
      <x:c r="A36" s="67"/>
      <x:c r="B36" s="66"/>
      <x:c r="C36" s="66"/>
      <x:c r="D36" s="66"/>
      <x:c r="E36" s="66"/>
      <x:c r="F36" s="66"/>
      <x:c r="G36" s="66"/>
      <x:c r="H36" s="67"/>
      <x:c r="I36" s="66"/>
      <x:c r="J36" s="66"/>
      <x:c r="K36" s="66"/>
    </x:row>
    <x:row r="37" spans="1:11">
      <x:c r="A37" s="67"/>
      <x:c r="B37" s="66"/>
      <x:c r="C37" s="66"/>
      <x:c r="D37" s="66"/>
      <x:c r="E37" s="66"/>
      <x:c r="F37" s="66"/>
      <x:c r="G37" s="66"/>
      <x:c r="H37" s="67"/>
      <x:c r="I37" s="66"/>
      <x:c r="J37" s="66"/>
      <x:c r="K37" s="66"/>
    </x:row>
    <x:row r="38" spans="1:11">
      <x:c r="A38" s="67"/>
      <x:c r="B38" s="66"/>
      <x:c r="C38" s="66"/>
      <x:c r="D38" s="66"/>
      <x:c r="E38" s="66"/>
      <x:c r="F38" s="66"/>
      <x:c r="G38" s="66"/>
      <x:c r="H38" s="67"/>
      <x:c r="I38" s="66"/>
      <x:c r="J38" s="66"/>
      <x:c r="K38" s="66"/>
    </x:row>
    <x:row r="39" spans="1:11">
      <x:c r="A39" s="67"/>
      <x:c r="B39" s="66"/>
      <x:c r="C39" s="66"/>
      <x:c r="D39" s="66"/>
      <x:c r="E39" s="66"/>
      <x:c r="F39" s="66"/>
      <x:c r="G39" s="66"/>
      <x:c r="H39" s="67"/>
      <x:c r="I39" s="66"/>
      <x:c r="J39" s="66"/>
      <x:c r="K39" s="66"/>
    </x:row>
    <x:row r="40" spans="1:11">
      <x:c r="A40" s="67"/>
      <x:c r="B40" s="66"/>
      <x:c r="C40" s="66"/>
      <x:c r="D40" s="66"/>
      <x:c r="E40" s="66"/>
      <x:c r="F40" s="66"/>
      <x:c r="G40" s="66"/>
      <x:c r="H40" s="67"/>
      <x:c r="I40" s="66"/>
      <x:c r="J40" s="66"/>
      <x:c r="K40" s="66"/>
    </x:row>
    <x:row r="41" spans="1:11">
      <x:c r="A41" s="67"/>
      <x:c r="B41" s="66"/>
      <x:c r="C41" s="66"/>
      <x:c r="D41" s="66"/>
      <x:c r="E41" s="66"/>
      <x:c r="F41" s="66"/>
      <x:c r="G41" s="66"/>
      <x:c r="H41" s="67"/>
      <x:c r="I41" s="66"/>
      <x:c r="J41" s="66"/>
      <x:c r="K41" s="66"/>
    </x:row>
    <x:row r="42" spans="1:11">
      <x:c r="A42" s="67"/>
      <x:c r="B42" s="66"/>
      <x:c r="C42" s="66"/>
      <x:c r="D42" s="66"/>
      <x:c r="E42" s="66"/>
      <x:c r="F42" s="66"/>
      <x:c r="G42" s="66"/>
      <x:c r="H42" s="67"/>
      <x:c r="I42" s="66"/>
      <x:c r="J42" s="66"/>
      <x:c r="K42" s="66"/>
    </x:row>
    <x:row r="43" spans="1:11">
      <x:c r="A43" s="67"/>
      <x:c r="B43" s="66"/>
      <x:c r="C43" s="66"/>
      <x:c r="D43" s="66"/>
      <x:c r="E43" s="66"/>
      <x:c r="F43" s="66"/>
      <x:c r="G43" s="66"/>
      <x:c r="H43" s="67"/>
      <x:c r="I43" s="66"/>
      <x:c r="J43" s="66"/>
      <x:c r="K43" s="66"/>
    </x:row>
    <x:row r="44" spans="1:11">
      <x:c r="A44" s="67"/>
      <x:c r="B44" s="66"/>
      <x:c r="C44" s="66"/>
      <x:c r="D44" s="66"/>
      <x:c r="E44" s="66"/>
      <x:c r="F44" s="66"/>
      <x:c r="G44" s="66"/>
      <x:c r="H44" s="67"/>
      <x:c r="I44" s="66"/>
      <x:c r="J44" s="66"/>
      <x:c r="K44" s="66"/>
    </x:row>
    <x:row r="45" spans="1:11">
      <x:c r="A45" s="67"/>
      <x:c r="B45" s="66"/>
      <x:c r="C45" s="66"/>
      <x:c r="D45" s="66"/>
      <x:c r="E45" s="66"/>
      <x:c r="F45" s="66"/>
      <x:c r="G45" s="66"/>
      <x:c r="H45" s="67"/>
      <x:c r="I45" s="66"/>
      <x:c r="J45" s="66"/>
      <x:c r="K45" s="66"/>
    </x:row>
    <x:row r="46" spans="1:11">
      <x:c r="A46" s="67"/>
      <x:c r="B46" s="66"/>
      <x:c r="C46" s="66"/>
      <x:c r="D46" s="66"/>
      <x:c r="E46" s="66"/>
      <x:c r="F46" s="66"/>
      <x:c r="G46" s="66"/>
      <x:c r="H46" s="67"/>
      <x:c r="I46" s="66"/>
      <x:c r="J46" s="66"/>
      <x:c r="K46" s="66"/>
    </x:row>
    <x:row r="47" spans="1:11">
      <x:c r="A47" s="67"/>
      <x:c r="B47" s="66"/>
      <x:c r="C47" s="66"/>
      <x:c r="D47" s="66"/>
      <x:c r="E47" s="66"/>
      <x:c r="F47" s="66"/>
      <x:c r="G47" s="66"/>
      <x:c r="H47" s="67"/>
      <x:c r="I47" s="66"/>
      <x:c r="J47" s="66"/>
      <x:c r="K47" s="66"/>
    </x:row>
    <x:row r="48" spans="1:11">
      <x:c r="A48" s="67"/>
      <x:c r="B48" s="66"/>
      <x:c r="C48" s="66"/>
      <x:c r="D48" s="66"/>
      <x:c r="E48" s="66"/>
      <x:c r="F48" s="66"/>
      <x:c r="G48" s="66"/>
      <x:c r="H48" s="67"/>
      <x:c r="I48" s="66"/>
      <x:c r="J48" s="66"/>
      <x:c r="K48" s="66"/>
    </x:row>
    <x:row r="49" spans="1:11">
      <x:c r="A49" s="67"/>
      <x:c r="B49" s="66"/>
      <x:c r="C49" s="66"/>
      <x:c r="D49" s="66"/>
      <x:c r="E49" s="66"/>
      <x:c r="F49" s="66"/>
      <x:c r="G49" s="66"/>
      <x:c r="H49" s="67"/>
      <x:c r="I49" s="66"/>
      <x:c r="J49" s="66"/>
      <x:c r="K49" s="66"/>
    </x:row>
    <x:row r="50" spans="1:11">
      <x:c r="A50" s="67"/>
      <x:c r="B50" s="66"/>
      <x:c r="C50" s="66"/>
      <x:c r="D50" s="66"/>
      <x:c r="E50" s="66"/>
      <x:c r="F50" s="66"/>
      <x:c r="G50" s="66"/>
      <x:c r="H50" s="67"/>
      <x:c r="I50" s="66"/>
      <x:c r="J50" s="66"/>
      <x:c r="K50" s="66"/>
    </x:row>
    <x:row r="51" spans="1:11">
      <x:c r="A51" s="67"/>
      <x:c r="B51" s="66"/>
      <x:c r="C51" s="66"/>
      <x:c r="D51" s="66"/>
      <x:c r="E51" s="66"/>
      <x:c r="F51" s="66"/>
      <x:c r="G51" s="66"/>
      <x:c r="H51" s="67"/>
      <x:c r="I51" s="66"/>
      <x:c r="J51" s="66"/>
      <x:c r="K51" s="66"/>
    </x:row>
    <x:row r="52" spans="1:11">
      <x:c r="A52" s="67"/>
      <x:c r="B52" s="66"/>
      <x:c r="C52" s="66"/>
      <x:c r="D52" s="66"/>
      <x:c r="E52" s="66"/>
      <x:c r="F52" s="66"/>
      <x:c r="G52" s="66"/>
      <x:c r="H52" s="67"/>
      <x:c r="I52" s="66"/>
      <x:c r="J52" s="66"/>
      <x:c r="K52" s="66"/>
    </x:row>
    <x:row r="53" spans="1:11">
      <x:c r="A53" s="67"/>
      <x:c r="B53" s="66"/>
      <x:c r="C53" s="66"/>
      <x:c r="D53" s="66"/>
      <x:c r="E53" s="66"/>
      <x:c r="F53" s="66"/>
      <x:c r="G53" s="66"/>
      <x:c r="H53" s="67"/>
      <x:c r="I53" s="66"/>
      <x:c r="J53" s="66"/>
      <x:c r="K53" s="66"/>
    </x:row>
    <x:row r="54" spans="1:11">
      <x:c r="A54" s="67"/>
      <x:c r="B54" s="66"/>
      <x:c r="C54" s="66"/>
      <x:c r="D54" s="66"/>
      <x:c r="E54" s="66"/>
      <x:c r="F54" s="66"/>
      <x:c r="G54" s="66"/>
      <x:c r="H54" s="67"/>
      <x:c r="I54" s="66"/>
      <x:c r="J54" s="66"/>
      <x:c r="K54" s="66"/>
    </x:row>
    <x:row r="55" spans="1:11">
      <x:c r="A55" s="67"/>
      <x:c r="B55" s="66"/>
      <x:c r="C55" s="66"/>
      <x:c r="D55" s="66"/>
      <x:c r="E55" s="66"/>
      <x:c r="F55" s="66"/>
      <x:c r="G55" s="66"/>
      <x:c r="H55" s="67"/>
      <x:c r="I55" s="66"/>
      <x:c r="J55" s="66"/>
      <x:c r="K55" s="66"/>
    </x:row>
    <x:row r="56" spans="1:11">
      <x:c r="A56" s="67"/>
      <x:c r="B56" s="66"/>
      <x:c r="C56" s="66"/>
      <x:c r="D56" s="66"/>
      <x:c r="E56" s="66"/>
      <x:c r="F56" s="66"/>
      <x:c r="G56" s="66"/>
      <x:c r="H56" s="67"/>
      <x:c r="I56" s="66"/>
      <x:c r="J56" s="66"/>
      <x:c r="K56" s="66"/>
    </x:row>
    <x:row r="57" spans="1:11">
      <x:c r="A57" s="67"/>
      <x:c r="B57" s="66"/>
      <x:c r="C57" s="66"/>
      <x:c r="D57" s="66"/>
      <x:c r="E57" s="66"/>
      <x:c r="F57" s="66"/>
      <x:c r="G57" s="66"/>
      <x:c r="H57" s="67"/>
      <x:c r="I57" s="66"/>
      <x:c r="J57" s="66"/>
      <x:c r="K57" s="66"/>
    </x:row>
    <x:row r="58" spans="1:11">
      <x:c r="A58" s="67"/>
      <x:c r="B58" s="66"/>
      <x:c r="C58" s="66"/>
      <x:c r="D58" s="66"/>
      <x:c r="E58" s="66"/>
      <x:c r="F58" s="66"/>
      <x:c r="G58" s="66"/>
      <x:c r="H58" s="67"/>
      <x:c r="I58" s="66"/>
      <x:c r="J58" s="66"/>
      <x:c r="K58" s="66"/>
    </x:row>
    <x:row r="59" spans="1:11">
      <x:c r="A59" s="67"/>
      <x:c r="B59" s="66"/>
      <x:c r="C59" s="66"/>
      <x:c r="D59" s="66"/>
      <x:c r="E59" s="66"/>
      <x:c r="F59" s="66"/>
      <x:c r="G59" s="66"/>
      <x:c r="H59" s="67"/>
      <x:c r="I59" s="66"/>
      <x:c r="J59" s="66"/>
      <x:c r="K59" s="66"/>
    </x:row>
    <x:row r="60" spans="1:11">
      <x:c r="A60" s="67"/>
      <x:c r="B60" s="66"/>
      <x:c r="C60" s="66"/>
      <x:c r="D60" s="66"/>
      <x:c r="E60" s="66"/>
      <x:c r="F60" s="66"/>
      <x:c r="G60" s="66"/>
      <x:c r="H60" s="67"/>
      <x:c r="I60" s="66"/>
      <x:c r="J60" s="66"/>
      <x:c r="K60" s="66"/>
    </x:row>
    <x:row r="61" spans="1:11">
      <x:c r="A61" s="67"/>
      <x:c r="B61" s="66"/>
      <x:c r="C61" s="66"/>
      <x:c r="D61" s="66"/>
      <x:c r="E61" s="66"/>
      <x:c r="F61" s="66"/>
      <x:c r="G61" s="66"/>
      <x:c r="H61" s="67"/>
      <x:c r="I61" s="66"/>
      <x:c r="J61" s="66"/>
      <x:c r="K61" s="66"/>
    </x:row>
    <x:row r="62" spans="1:11">
      <x:c r="A62" s="67"/>
      <x:c r="B62" s="66"/>
      <x:c r="C62" s="66"/>
      <x:c r="D62" s="66"/>
      <x:c r="E62" s="66"/>
      <x:c r="F62" s="66"/>
      <x:c r="G62" s="66"/>
      <x:c r="H62" s="67"/>
      <x:c r="I62" s="66"/>
      <x:c r="J62" s="66"/>
      <x:c r="K62" s="66"/>
    </x:row>
    <x:row r="63" spans="1:11">
      <x:c r="A63" s="67"/>
      <x:c r="B63" s="66"/>
      <x:c r="C63" s="66"/>
      <x:c r="D63" s="66"/>
      <x:c r="E63" s="66"/>
      <x:c r="F63" s="66"/>
      <x:c r="G63" s="66"/>
      <x:c r="H63" s="67"/>
      <x:c r="I63" s="66"/>
      <x:c r="J63" s="66"/>
      <x:c r="K63" s="66"/>
    </x:row>
    <x:row r="64" spans="1:11">
      <x:c r="A64" s="67"/>
      <x:c r="B64" s="66"/>
      <x:c r="C64" s="66"/>
      <x:c r="D64" s="66"/>
      <x:c r="E64" s="66"/>
      <x:c r="F64" s="66"/>
      <x:c r="G64" s="66"/>
      <x:c r="H64" s="67"/>
      <x:c r="I64" s="66"/>
      <x:c r="J64" s="66"/>
      <x:c r="K64" s="66"/>
    </x:row>
    <x:row r="65" spans="1:11">
      <x:c r="A65" s="67"/>
      <x:c r="B65" s="66"/>
      <x:c r="C65" s="66"/>
      <x:c r="D65" s="66"/>
      <x:c r="E65" s="66"/>
      <x:c r="F65" s="66"/>
      <x:c r="G65" s="66"/>
      <x:c r="H65" s="67"/>
      <x:c r="I65" s="66"/>
      <x:c r="J65" s="66"/>
      <x:c r="K65" s="66"/>
    </x:row>
    <x:row r="66" spans="1:11">
      <x:c r="A66" s="67"/>
      <x:c r="B66" s="66"/>
      <x:c r="C66" s="66"/>
      <x:c r="D66" s="66"/>
      <x:c r="E66" s="66"/>
      <x:c r="F66" s="66"/>
      <x:c r="G66" s="66"/>
      <x:c r="H66" s="67"/>
      <x:c r="I66" s="66"/>
      <x:c r="J66" s="66"/>
      <x:c r="K66" s="66"/>
    </x:row>
    <x:row r="67" spans="1:11">
      <x:c r="A67" s="67"/>
      <x:c r="B67" s="66"/>
      <x:c r="C67" s="66"/>
      <x:c r="D67" s="66"/>
      <x:c r="E67" s="66"/>
      <x:c r="F67" s="66"/>
      <x:c r="G67" s="66"/>
      <x:c r="H67" s="67"/>
      <x:c r="I67" s="66"/>
      <x:c r="J67" s="66"/>
      <x:c r="K67" s="66"/>
    </x:row>
    <x:row r="68" spans="1:11">
      <x:c r="A68" s="67"/>
      <x:c r="B68" s="66"/>
      <x:c r="C68" s="66"/>
      <x:c r="D68" s="66"/>
      <x:c r="E68" s="66"/>
      <x:c r="F68" s="66"/>
      <x:c r="G68" s="66"/>
      <x:c r="H68" s="67"/>
      <x:c r="I68" s="66"/>
      <x:c r="J68" s="66"/>
      <x:c r="K68" s="66"/>
    </x:row>
    <x:row r="69" spans="1:11">
      <x:c r="A69" s="67"/>
      <x:c r="B69" s="66"/>
      <x:c r="C69" s="66"/>
      <x:c r="D69" s="66"/>
      <x:c r="E69" s="66"/>
      <x:c r="F69" s="66"/>
      <x:c r="G69" s="66"/>
      <x:c r="H69" s="67"/>
      <x:c r="I69" s="66"/>
      <x:c r="J69" s="66"/>
      <x:c r="K69" s="66"/>
    </x:row>
    <x:row r="70" spans="1:11">
      <x:c r="A70" s="67"/>
      <x:c r="B70" s="66"/>
      <x:c r="C70" s="66"/>
      <x:c r="D70" s="66"/>
      <x:c r="E70" s="66"/>
      <x:c r="F70" s="66"/>
      <x:c r="G70" s="66"/>
      <x:c r="H70" s="67"/>
      <x:c r="I70" s="66"/>
      <x:c r="J70" s="66"/>
      <x:c r="K70" s="66"/>
    </x:row>
    <x:row r="71" spans="1:11">
      <x:c r="A71" s="67"/>
      <x:c r="B71" s="66"/>
      <x:c r="C71" s="66"/>
      <x:c r="D71" s="66"/>
      <x:c r="E71" s="66"/>
      <x:c r="F71" s="66"/>
      <x:c r="G71" s="66"/>
      <x:c r="H71" s="67"/>
      <x:c r="I71" s="66"/>
      <x:c r="J71" s="66"/>
      <x:c r="K71" s="66"/>
    </x:row>
    <x:row r="72" spans="1:11">
      <x:c r="A72" s="67"/>
      <x:c r="B72" s="66"/>
      <x:c r="C72" s="66"/>
      <x:c r="D72" s="66"/>
      <x:c r="E72" s="66"/>
      <x:c r="F72" s="66"/>
      <x:c r="G72" s="66"/>
      <x:c r="H72" s="67"/>
      <x:c r="I72" s="66"/>
      <x:c r="J72" s="66"/>
      <x:c r="K72" s="66"/>
    </x:row>
    <x:row r="73" spans="1:11">
      <x:c r="A73" s="67"/>
      <x:c r="B73" s="66"/>
      <x:c r="C73" s="66"/>
      <x:c r="D73" s="66"/>
      <x:c r="E73" s="66"/>
      <x:c r="F73" s="66"/>
      <x:c r="G73" s="66"/>
      <x:c r="H73" s="67"/>
      <x:c r="I73" s="66"/>
      <x:c r="J73" s="66"/>
      <x:c r="K73" s="66"/>
    </x:row>
    <x:row r="74" spans="1:11">
      <x:c r="A74" s="67"/>
      <x:c r="B74" s="66"/>
      <x:c r="C74" s="66"/>
      <x:c r="D74" s="66"/>
      <x:c r="E74" s="66"/>
      <x:c r="F74" s="66"/>
      <x:c r="G74" s="66"/>
      <x:c r="H74" s="67"/>
      <x:c r="I74" s="66"/>
      <x:c r="J74" s="66"/>
      <x:c r="K74" s="66"/>
    </x:row>
    <x:row r="75" spans="1:11">
      <x:c r="A75" s="67"/>
      <x:c r="B75" s="66"/>
      <x:c r="C75" s="66"/>
      <x:c r="D75" s="66"/>
      <x:c r="E75" s="66"/>
      <x:c r="F75" s="66"/>
      <x:c r="G75" s="66"/>
      <x:c r="H75" s="67"/>
      <x:c r="I75" s="66"/>
      <x:c r="J75" s="66"/>
      <x:c r="K75" s="66"/>
    </x:row>
    <x:row r="76" spans="1:11">
      <x:c r="A76" s="67"/>
      <x:c r="B76" s="66"/>
      <x:c r="C76" s="66"/>
      <x:c r="D76" s="66"/>
      <x:c r="E76" s="66"/>
      <x:c r="F76" s="66"/>
      <x:c r="G76" s="66"/>
      <x:c r="H76" s="67"/>
      <x:c r="I76" s="66"/>
      <x:c r="J76" s="66"/>
      <x:c r="K76" s="66"/>
    </x:row>
    <x:row r="77" spans="1:11">
      <x:c r="A77" s="67"/>
      <x:c r="B77" s="66"/>
      <x:c r="C77" s="66"/>
      <x:c r="D77" s="66"/>
      <x:c r="E77" s="66"/>
      <x:c r="F77" s="66"/>
      <x:c r="G77" s="66"/>
      <x:c r="H77" s="67"/>
      <x:c r="I77" s="66"/>
      <x:c r="J77" s="66"/>
      <x:c r="K77" s="66"/>
    </x:row>
    <x:row r="78" spans="1:11">
      <x:c r="A78" s="67"/>
      <x:c r="B78" s="66"/>
      <x:c r="C78" s="66"/>
      <x:c r="D78" s="66"/>
      <x:c r="E78" s="66"/>
      <x:c r="F78" s="66"/>
      <x:c r="G78" s="66"/>
      <x:c r="H78" s="67"/>
      <x:c r="I78" s="66"/>
      <x:c r="J78" s="66"/>
      <x:c r="K78" s="66"/>
    </x:row>
    <x:row r="79" spans="1:11">
      <x:c r="A79" s="67"/>
      <x:c r="B79" s="66"/>
      <x:c r="C79" s="66"/>
      <x:c r="D79" s="66"/>
      <x:c r="E79" s="66"/>
      <x:c r="F79" s="66"/>
      <x:c r="G79" s="66"/>
      <x:c r="H79" s="67"/>
      <x:c r="I79" s="66"/>
      <x:c r="J79" s="66"/>
      <x:c r="K79" s="66"/>
    </x:row>
    <x:row r="80" spans="1:11">
      <x:c r="A80" s="67"/>
      <x:c r="B80" s="66"/>
      <x:c r="C80" s="66"/>
      <x:c r="D80" s="66"/>
      <x:c r="E80" s="66"/>
      <x:c r="F80" s="66"/>
      <x:c r="G80" s="66"/>
      <x:c r="H80" s="67"/>
      <x:c r="I80" s="66"/>
      <x:c r="J80" s="66"/>
      <x:c r="K80" s="66"/>
    </x:row>
    <x:row r="81" spans="1:11">
      <x:c r="A81" s="67"/>
      <x:c r="B81" s="66"/>
      <x:c r="C81" s="66"/>
      <x:c r="D81" s="66"/>
      <x:c r="E81" s="66"/>
      <x:c r="F81" s="66"/>
      <x:c r="G81" s="66"/>
      <x:c r="H81" s="67"/>
      <x:c r="I81" s="66"/>
      <x:c r="J81" s="66"/>
      <x:c r="K81" s="66"/>
    </x:row>
    <x:row r="82" spans="1:11">
      <x:c r="A82" s="67"/>
      <x:c r="B82" s="66"/>
      <x:c r="C82" s="66"/>
      <x:c r="D82" s="66"/>
      <x:c r="E82" s="66"/>
      <x:c r="F82" s="66"/>
      <x:c r="G82" s="66"/>
      <x:c r="H82" s="67"/>
      <x:c r="I82" s="66"/>
      <x:c r="J82" s="66"/>
      <x:c r="K82" s="66"/>
    </x:row>
    <x:row r="83" spans="1:11">
      <x:c r="A83" s="67"/>
      <x:c r="B83" s="66"/>
      <x:c r="C83" s="66"/>
      <x:c r="D83" s="66"/>
      <x:c r="E83" s="66"/>
      <x:c r="F83" s="66"/>
      <x:c r="G83" s="66"/>
      <x:c r="H83" s="67"/>
      <x:c r="I83" s="66"/>
      <x:c r="J83" s="66"/>
      <x:c r="K83" s="66"/>
    </x:row>
    <x:row r="84" spans="1:11">
      <x:c r="A84" s="67"/>
      <x:c r="B84" s="66"/>
      <x:c r="C84" s="66"/>
      <x:c r="D84" s="66"/>
      <x:c r="E84" s="66"/>
      <x:c r="F84" s="66"/>
      <x:c r="G84" s="66"/>
      <x:c r="H84" s="67"/>
      <x:c r="I84" s="66"/>
      <x:c r="J84" s="66"/>
      <x:c r="K84" s="66"/>
    </x:row>
  </x:sheetData>
  <x:mergeCells count="2">
    <x:mergeCell ref="A1:K1"/>
    <x:mergeCell ref="A2:K2"/>
  </x:mergeCells>
  <x:dataValidations count="2">
    <x:dataValidation type="list" sqref="D5:D84">
      <x:formula1>"견적,계약,발주,제작,시험운전,현장설치,시운전,검수,수금,회의,문서,기타"</x:formula1>
    </x:dataValidation>
    <x:dataValidation type="list" sqref="F5:F84">
      <x:formula1>"신규,선정완료,견적작성,제출완료,협의중,계약완료,발주완료,제작중,설치중,시운전,완료,보류,취소"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K46"/>
  <x:sheetViews>
    <x:sheetView showGridLines="0" topLeftCell="A1" zoomScaleNormal="75" zoomScaleSheetLayoutView="100" workbookViewId="0">
      <x:selection activeCell="A1" activeCellId="0" sqref="A1:XFD1048576"/>
    </x:sheetView>
  </x:sheetViews>
  <x:sheetFormatPr defaultColWidth="8.72265625" defaultRowHeight="16.39999999999999857891"/>
  <x:cols>
    <x:col min="1" max="1" width="11.25" style="1" customWidth="1"/>
    <x:col min="2" max="2" width="17.5" style="1" customWidth="1"/>
    <x:col min="3" max="3" width="28.75" style="1" customWidth="1"/>
    <x:col min="4" max="4" width="37.5" style="1" customWidth="1"/>
    <x:col min="5" max="5" width="15" style="1" customWidth="1"/>
    <x:col min="6" max="7" width="14.37890625" style="1" customWidth="1"/>
    <x:col min="8" max="11" width="16.25" style="1" customWidth="1"/>
    <x:col min="12" max="16384" width="8.72265625" style="1"/>
  </x:cols>
  <x:sheetData>
    <x:row r="1" spans="1:11" ht="23.5">
      <x:c r="A1" s="14" t="s">
        <x:v>114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spans="1:11">
      <x:c r="A2" s="4" t="s">
        <x:v>131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spans="1:7">
      <x:c r="A4" s="5" t="s">
        <x:v>208</x:v>
      </x:c>
      <x:c r="B4" s="5" t="s">
        <x:v>63</x:v>
      </x:c>
      <x:c r="D4" s="6" t="s">
        <x:v>213</x:v>
      </x:c>
      <x:c r="E4" s="6" t="s">
        <x:v>205</x:v>
      </x:c>
      <x:c r="F4" s="6" t="s">
        <x:v>62</x:v>
      </x:c>
      <x:c r="G4" s="6" t="s">
        <x:v>206</x:v>
      </x:c>
    </x:row>
    <x:row r="5" spans="1:7">
      <x:c r="A5" s="8" t="s">
        <x:v>86</x:v>
      </x:c>
      <x:c r="B5" s="8" t="s">
        <x:v>184</x:v>
      </x:c>
      <x:c r="D5" s="8" t="s">
        <x:v>215</x:v>
      </x:c>
      <x:c r="E5" s="9">
        <x:v>1407979800</x:v>
      </x:c>
      <x:c r="F5" s="69">
        <x:v>1</x:v>
      </x:c>
      <x:c r="G5" s="8" t="s">
        <x:v>64</x:v>
      </x:c>
    </x:row>
    <x:row r="6" spans="1:7">
      <x:c r="A6" s="8" t="s">
        <x:v>216</x:v>
      </x:c>
      <x:c r="B6" s="8" t="s">
        <x:v>1</x:v>
      </x:c>
      <x:c r="D6" s="8" t="s">
        <x:v>217</x:v>
      </x:c>
      <x:c r="E6" s="9">
        <x:v>985000000</x:v>
      </x:c>
      <x:c r="F6" s="69">
        <x:v>0.6996</x:v>
      </x:c>
      <x:c r="G6" s="8" t="s">
        <x:v>236</x:v>
      </x:c>
    </x:row>
    <x:row r="7" spans="1:7">
      <x:c r="A7" s="8" t="s">
        <x:v>65</x:v>
      </x:c>
      <x:c r="B7" s="8" t="s">
        <x:v>130</x:v>
      </x:c>
      <x:c r="D7" s="8" t="s">
        <x:v>222</x:v>
      </x:c>
      <x:c r="E7" s="9">
        <x:v>422979800</x:v>
      </x:c>
      <x:c r="F7" s="69">
        <x:v>0.3004</x:v>
      </x:c>
      <x:c r="G7" s="8" t="s">
        <x:v>239</x:v>
      </x:c>
    </x:row>
    <x:row r="8" spans="1:2">
      <x:c r="A8" s="8" t="s">
        <x:v>223</x:v>
      </x:c>
      <x:c r="B8" s="8" t="s">
        <x:v>236</x:v>
      </x:c>
    </x:row>
    <x:row r="9" spans="1:2">
      <x:c r="A9" s="8" t="s">
        <x:v>240</x:v>
      </x:c>
      <x:c r="B9" s="8" t="s">
        <x:v>181</x:v>
      </x:c>
    </x:row>
    <x:row r="10" spans="1:2">
      <x:c r="A10" s="8" t="s">
        <x:v>239</x:v>
      </x:c>
      <x:c r="B10" s="8" t="s">
        <x:v>111</x:v>
      </x:c>
    </x:row>
    <x:row r="11" spans="1:2">
      <x:c r="A11" s="8" t="s">
        <x:v>252</x:v>
      </x:c>
      <x:c r="B11" s="8" t="s">
        <x:v>116</x:v>
      </x:c>
    </x:row>
    <x:row r="12" spans="1:2">
      <x:c r="A12" s="8" t="s">
        <x:v>241</x:v>
      </x:c>
      <x:c r="B12" s="8" t="s">
        <x:v>95</x:v>
      </x:c>
    </x:row>
    <x:row r="13" spans="1:2">
      <x:c r="A13" s="8" t="s">
        <x:v>106</x:v>
      </x:c>
      <x:c r="B13" s="8" t="s">
        <x:v>124</x:v>
      </x:c>
    </x:row>
    <x:row r="16" spans="1:11">
      <x:c r="A16" s="70" t="s">
        <x:v>161</x:v>
      </x:c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</x:row>
    <x:row r="17" spans="1:11">
      <x:c r="A17" s="1" t="s">
        <x:v>56</x:v>
      </x:c>
      <x:c r="B17" s="1" t="s">
        <x:v>60</x:v>
      </x:c>
      <x:c r="C17" s="1" t="s">
        <x:v>195</x:v>
      </x:c>
      <x:c r="D17" s="1" t="s">
        <x:v>199</x:v>
      </x:c>
      <x:c r="E17" s="1" t="s">
        <x:v>205</x:v>
      </x:c>
      <x:c r="F17" s="1" t="s">
        <x:v>209</x:v>
      </x:c>
      <x:c r="G17" s="1" t="s">
        <x:v>143</x:v>
      </x:c>
      <x:c r="H17" s="1" t="s">
        <x:v>214</x:v>
      </x:c>
      <x:c r="I17" s="1" t="s">
        <x:v>210</x:v>
      </x:c>
      <x:c r="J17" s="1" t="s">
        <x:v>211</x:v>
      </x:c>
      <x:c r="K17" s="1" t="s">
        <x:v>47</x:v>
      </x:c>
    </x:row>
    <x:row r="18" spans="1:6">
      <x:c r="A18" s="1" t="s">
        <x:v>235</x:v>
      </x:c>
      <x:c r="B18" s="1" t="s">
        <x:v>230</x:v>
      </x:c>
      <x:c r="C18" s="1" t="s">
        <x:v>68</x:v>
      </x:c>
      <x:c r="E18" s="71">
        <x:v>1112479800</x:v>
      </x:c>
      <x:c r="F18" s="1" t="s">
        <x:v>69</x:v>
      </x:c>
    </x:row>
    <x:row r="19" spans="1:8">
      <x:c r="A19" s="1" t="s">
        <x:v>235</x:v>
      </x:c>
      <x:c r="B19" s="1" t="s">
        <x:v>230</x:v>
      </x:c>
      <x:c r="C19" s="1" t="s">
        <x:v>115</x:v>
      </x:c>
      <x:c r="D19" s="1" t="s">
        <x:v>140</x:v>
      </x:c>
      <x:c r="E19" s="71">
        <x:v>310000000</x:v>
      </x:c>
      <x:c r="F19" s="1" t="s">
        <x:v>69</x:v>
      </x:c>
      <x:c r="H19" s="1" t="s">
        <x:v>242</x:v>
      </x:c>
    </x:row>
    <x:row r="20" spans="1:8">
      <x:c r="A20" s="1" t="s">
        <x:v>235</x:v>
      </x:c>
      <x:c r="B20" s="1" t="s">
        <x:v>230</x:v>
      </x:c>
      <x:c r="C20" s="1" t="s">
        <x:v>162</x:v>
      </x:c>
      <x:c r="D20" s="1" t="s">
        <x:v>128</x:v>
      </x:c>
      <x:c r="E20" s="71">
        <x:v>143511600</x:v>
      </x:c>
      <x:c r="F20" s="1" t="s">
        <x:v>69</x:v>
      </x:c>
      <x:c r="H20" s="1" t="s">
        <x:v>242</x:v>
      </x:c>
    </x:row>
    <x:row r="21" spans="1:8">
      <x:c r="A21" s="1" t="s">
        <x:v>235</x:v>
      </x:c>
      <x:c r="B21" s="1" t="s">
        <x:v>230</x:v>
      </x:c>
      <x:c r="C21" s="1" t="s">
        <x:v>10</x:v>
      </x:c>
      <x:c r="D21" s="1" t="s">
        <x:v>170</x:v>
      </x:c>
      <x:c r="E21" s="71">
        <x:v>135731200</x:v>
      </x:c>
      <x:c r="F21" s="1" t="s">
        <x:v>69</x:v>
      </x:c>
      <x:c r="H21" s="1" t="s">
        <x:v>242</x:v>
      </x:c>
    </x:row>
    <x:row r="22" spans="1:8">
      <x:c r="A22" s="1" t="s">
        <x:v>235</x:v>
      </x:c>
      <x:c r="B22" s="1" t="s">
        <x:v>230</x:v>
      </x:c>
      <x:c r="C22" s="1" t="s">
        <x:v>163</x:v>
      </x:c>
      <x:c r="D22" s="1" t="s">
        <x:v>171</x:v>
      </x:c>
      <x:c r="E22" s="71">
        <x:v>209237000</x:v>
      </x:c>
      <x:c r="F22" s="1" t="s">
        <x:v>69</x:v>
      </x:c>
      <x:c r="H22" s="1" t="s">
        <x:v>242</x:v>
      </x:c>
    </x:row>
    <x:row r="23" spans="1:8">
      <x:c r="A23" s="1" t="s">
        <x:v>235</x:v>
      </x:c>
      <x:c r="B23" s="1" t="s">
        <x:v>230</x:v>
      </x:c>
      <x:c r="C23" s="1" t="s">
        <x:v>164</x:v>
      </x:c>
      <x:c r="D23" s="1" t="s">
        <x:v>129</x:v>
      </x:c>
      <x:c r="E23" s="71">
        <x:v>192000000</x:v>
      </x:c>
      <x:c r="F23" s="1" t="s">
        <x:v>69</x:v>
      </x:c>
      <x:c r="H23" s="1" t="s">
        <x:v>242</x:v>
      </x:c>
    </x:row>
    <x:row r="24" spans="1:8">
      <x:c r="A24" s="1" t="s">
        <x:v>235</x:v>
      </x:c>
      <x:c r="B24" s="1" t="s">
        <x:v>230</x:v>
      </x:c>
      <x:c r="C24" s="1" t="s">
        <x:v>165</x:v>
      </x:c>
      <x:c r="D24" s="1" t="s">
        <x:v>172</x:v>
      </x:c>
      <x:c r="E24" s="71">
        <x:v>122000000</x:v>
      </x:c>
      <x:c r="F24" s="1" t="s">
        <x:v>69</x:v>
      </x:c>
      <x:c r="H24" s="1" t="s">
        <x:v>242</x:v>
      </x:c>
    </x:row>
    <x:row r="25" spans="1:6">
      <x:c r="A25" s="1" t="s">
        <x:v>66</x:v>
      </x:c>
      <x:c r="B25" s="1" t="s">
        <x:v>74</x:v>
      </x:c>
      <x:c r="C25" s="1" t="s">
        <x:v>68</x:v>
      </x:c>
      <x:c r="E25" s="71">
        <x:v>286000000</x:v>
      </x:c>
      <x:c r="F25" s="1" t="s">
        <x:v>229</x:v>
      </x:c>
    </x:row>
    <x:row r="26" spans="1:8">
      <x:c r="A26" s="1" t="s">
        <x:v>66</x:v>
      </x:c>
      <x:c r="B26" s="1" t="s">
        <x:v>74</x:v>
      </x:c>
      <x:c r="C26" s="1" t="s">
        <x:v>21</x:v>
      </x:c>
      <x:c r="D26" s="1" t="s">
        <x:v>117</x:v>
      </x:c>
      <x:c r="E26" s="71">
        <x:v>286000000</x:v>
      </x:c>
      <x:c r="F26" s="1" t="s">
        <x:v>67</x:v>
      </x:c>
      <x:c r="H26" s="1" t="s">
        <x:v>242</x:v>
      </x:c>
    </x:row>
    <x:row r="27" spans="1:6">
      <x:c r="A27" s="1" t="s">
        <x:v>76</x:v>
      </x:c>
      <x:c r="C27" s="1" t="s">
        <x:v>68</x:v>
      </x:c>
      <x:c r="E27" s="71">
        <x:v>9500000</x:v>
      </x:c>
      <x:c r="F27" s="1" t="s">
        <x:v>75</x:v>
      </x:c>
    </x:row>
    <x:row r="28" spans="1:8">
      <x:c r="A28" s="1" t="s">
        <x:v>76</x:v>
      </x:c>
      <x:c r="B28" s="1" t="s">
        <x:v>224</x:v>
      </x:c>
      <x:c r="C28" s="1" t="s">
        <x:v>70</x:v>
      </x:c>
      <x:c r="D28" s="1" t="s">
        <x:v>233</x:v>
      </x:c>
      <x:c r="E28" s="71">
        <x:v>1500000</x:v>
      </x:c>
      <x:c r="F28" s="1" t="s">
        <x:v>75</x:v>
      </x:c>
      <x:c r="H28" s="1" t="s">
        <x:v>242</x:v>
      </x:c>
    </x:row>
    <x:row r="29" spans="1:8">
      <x:c r="A29" s="1" t="s">
        <x:v>76</x:v>
      </x:c>
      <x:c r="B29" s="1" t="s">
        <x:v>231</x:v>
      </x:c>
      <x:c r="C29" s="1" t="s">
        <x:v>265</x:v>
      </x:c>
      <x:c r="D29" s="1" t="s">
        <x:v>113</x:v>
      </x:c>
      <x:c r="E29" s="71">
        <x:v>8000000</x:v>
      </x:c>
      <x:c r="F29" s="1" t="s">
        <x:v>75</x:v>
      </x:c>
      <x:c r="H29" s="1" t="s">
        <x:v>242</x:v>
      </x:c>
    </x:row>
    <x:row r="30" spans="1:5">
      <x:c r="A30" s="1" t="s">
        <x:v>71</x:v>
      </x:c>
      <x:c r="E30" s="71">
        <x:v>1407979800</x:v>
      </x:c>
    </x:row>
    <x:row r="31" spans="5:5">
      <x:c r="E31" s="71"/>
    </x:row>
    <x:row r="34" spans="1:11">
      <x:c r="A34" s="46" t="s">
        <x:v>15</x:v>
      </x:c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</x:row>
    <x:row r="35" spans="1:11">
      <x:c r="A35" s="1" t="s">
        <x:v>55</x:v>
      </x:c>
      <x:c r="B35" s="1" t="s">
        <x:v>28</x:v>
      </x:c>
      <x:c r="C35" s="1" t="s">
        <x:v>220</x:v>
      </x:c>
      <x:c r="D35" s="1" t="s">
        <x:v>207</x:v>
      </x:c>
      <x:c r="E35" s="1" t="s">
        <x:v>58</x:v>
      </x:c>
      <x:c r="F35" s="1" t="s">
        <x:v>59</x:v>
      </x:c>
      <x:c r="G35" s="1" t="s">
        <x:v>61</x:v>
      </x:c>
      <x:c r="H35" s="1" t="s">
        <x:v>219</x:v>
      </x:c>
      <x:c r="I35" s="1" t="s">
        <x:v>218</x:v>
      </x:c>
      <x:c r="J35" s="1" t="s">
        <x:v>205</x:v>
      </x:c>
      <x:c r="K35" s="1" t="s">
        <x:v>47</x:v>
      </x:c>
    </x:row>
    <x:row r="36" spans="1:10">
      <x:c r="A36" s="1">
        <x:v>1</x:v>
      </x:c>
      <x:c r="B36" s="1" t="s">
        <x:v>221</x:v>
      </x:c>
      <x:c r="C36" s="1" t="s">
        <x:v>263</x:v>
      </x:c>
      <x:c r="D36" s="1" t="s">
        <x:v>166</x:v>
      </x:c>
      <x:c r="E36" s="72"/>
      <x:c r="F36" s="72"/>
      <x:c r="G36" s="1" t="s">
        <x:v>72</x:v>
      </x:c>
      <x:c r="H36" s="1" t="s">
        <x:v>73</x:v>
      </x:c>
      <x:c r="J36" s="71"/>
    </x:row>
    <x:row r="37" spans="1:10">
      <x:c r="A37" s="1">
        <x:v>2</x:v>
      </x:c>
      <x:c r="B37" s="1" t="s">
        <x:v>243</x:v>
      </x:c>
      <x:c r="C37" s="1" t="s">
        <x:v>264</x:v>
      </x:c>
      <x:c r="D37" s="1" t="s">
        <x:v>111</x:v>
      </x:c>
      <x:c r="E37" s="72"/>
      <x:c r="F37" s="72"/>
      <x:c r="G37" s="1" t="s">
        <x:v>72</x:v>
      </x:c>
      <x:c r="H37" s="1" t="s">
        <x:v>245</x:v>
      </x:c>
      <x:c r="J37" s="71"/>
    </x:row>
    <x:row r="38" spans="1:10">
      <x:c r="A38" s="1">
        <x:v>3</x:v>
      </x:c>
      <x:c r="B38" s="1" t="s">
        <x:v>244</x:v>
      </x:c>
      <x:c r="C38" s="1" t="s">
        <x:v>22</x:v>
      </x:c>
      <x:c r="D38" s="1" t="s">
        <x:v>111</x:v>
      </x:c>
      <x:c r="E38" s="72"/>
      <x:c r="F38" s="72"/>
      <x:c r="G38" s="1" t="s">
        <x:v>72</x:v>
      </x:c>
      <x:c r="H38" s="1" t="s">
        <x:v>225</x:v>
      </x:c>
      <x:c r="J38" s="71">
        <x:v>1407979800</x:v>
      </x:c>
    </x:row>
    <x:row r="39" spans="1:10">
      <x:c r="A39" s="1">
        <x:v>4</x:v>
      </x:c>
      <x:c r="B39" s="1" t="s">
        <x:v>237</x:v>
      </x:c>
      <x:c r="C39" s="1" t="s">
        <x:v>18</x:v>
      </x:c>
      <x:c r="D39" s="1" t="s">
        <x:v>20</x:v>
      </x:c>
      <x:c r="E39" s="72"/>
      <x:c r="F39" s="72"/>
      <x:c r="G39" s="1" t="s">
        <x:v>72</x:v>
      </x:c>
      <x:c r="H39" s="1" t="s">
        <x:v>250</x:v>
      </x:c>
      <x:c r="J39" s="71"/>
    </x:row>
    <x:row r="40" spans="1:10">
      <x:c r="A40" s="1">
        <x:v>5</x:v>
      </x:c>
      <x:c r="B40" s="1" t="s">
        <x:v>226</x:v>
      </x:c>
      <x:c r="C40" s="1" t="s">
        <x:v>23</x:v>
      </x:c>
      <x:c r="D40" s="1" t="s">
        <x:v>234</x:v>
      </x:c>
      <x:c r="E40" s="72"/>
      <x:c r="F40" s="72"/>
      <x:c r="G40" s="1" t="s">
        <x:v>72</x:v>
      </x:c>
      <x:c r="H40" s="1" t="s">
        <x:v>232</x:v>
      </x:c>
      <x:c r="J40" s="71"/>
    </x:row>
    <x:row r="41" spans="1:10">
      <x:c r="A41" s="1">
        <x:v>6</x:v>
      </x:c>
      <x:c r="B41" s="1" t="s">
        <x:v>227</x:v>
      </x:c>
      <x:c r="C41" s="1" t="s">
        <x:v>17</x:v>
      </x:c>
      <x:c r="D41" s="1" t="s">
        <x:v>234</x:v>
      </x:c>
      <x:c r="E41" s="72"/>
      <x:c r="F41" s="72"/>
      <x:c r="G41" s="1" t="s">
        <x:v>72</x:v>
      </x:c>
      <x:c r="H41" s="1" t="s">
        <x:v>228</x:v>
      </x:c>
      <x:c r="J41" s="71"/>
    </x:row>
    <x:row r="42" spans="1:10">
      <x:c r="A42" s="1">
        <x:v>7</x:v>
      </x:c>
      <x:c r="B42" s="1" t="s">
        <x:v>238</x:v>
      </x:c>
      <x:c r="C42" s="1" t="s">
        <x:v>14</x:v>
      </x:c>
      <x:c r="D42" s="1" t="s">
        <x:v>111</x:v>
      </x:c>
      <x:c r="E42" s="72"/>
      <x:c r="F42" s="72"/>
      <x:c r="G42" s="1" t="s">
        <x:v>72</x:v>
      </x:c>
      <x:c r="H42" s="1" t="s">
        <x:v>79</x:v>
      </x:c>
      <x:c r="J42" s="71"/>
    </x:row>
    <x:row r="43" spans="1:10">
      <x:c r="A43" s="1">
        <x:v>8</x:v>
      </x:c>
      <x:c r="B43" s="1" t="s">
        <x:v>246</x:v>
      </x:c>
      <x:c r="C43" s="1" t="s">
        <x:v>167</x:v>
      </x:c>
      <x:c r="D43" s="1" t="s">
        <x:v>247</x:v>
      </x:c>
      <x:c r="E43" s="72"/>
      <x:c r="F43" s="72"/>
      <x:c r="G43" s="1" t="s">
        <x:v>72</x:v>
      </x:c>
      <x:c r="H43" s="1" t="s">
        <x:v>77</x:v>
      </x:c>
      <x:c r="J43" s="71"/>
    </x:row>
    <x:row r="44" spans="1:10">
      <x:c r="A44" s="1">
        <x:v>9</x:v>
      </x:c>
      <x:c r="B44" s="1" t="s">
        <x:v>248</x:v>
      </x:c>
      <x:c r="C44" s="1" t="s">
        <x:v>16</x:v>
      </x:c>
      <x:c r="D44" s="1" t="s">
        <x:v>247</x:v>
      </x:c>
      <x:c r="E44" s="72"/>
      <x:c r="F44" s="72"/>
      <x:c r="G44" s="1" t="s">
        <x:v>72</x:v>
      </x:c>
      <x:c r="H44" s="1" t="s">
        <x:v>78</x:v>
      </x:c>
      <x:c r="J44" s="71"/>
    </x:row>
    <x:row r="45" spans="1:10">
      <x:c r="A45" s="1">
        <x:v>10</x:v>
      </x:c>
      <x:c r="B45" s="1" t="s">
        <x:v>80</x:v>
      </x:c>
      <x:c r="C45" s="1" t="s">
        <x:v>19</x:v>
      </x:c>
      <x:c r="D45" s="1" t="s">
        <x:v>111</x:v>
      </x:c>
      <x:c r="E45" s="72"/>
      <x:c r="F45" s="72"/>
      <x:c r="G45" s="1" t="s">
        <x:v>72</x:v>
      </x:c>
      <x:c r="H45" s="1" t="s">
        <x:v>249</x:v>
      </x:c>
      <x:c r="J45" s="71"/>
    </x:row>
    <x:row r="46" spans="1:10">
      <x:c r="A46" s="1">
        <x:v>11</x:v>
      </x:c>
      <x:c r="B46" s="1" t="s">
        <x:v>251</x:v>
      </x:c>
      <x:c r="C46" s="1" t="s">
        <x:v>118</x:v>
      </x:c>
      <x:c r="D46" s="1" t="s">
        <x:v>166</x:v>
      </x:c>
      <x:c r="E46" s="72"/>
      <x:c r="F46" s="72"/>
      <x:c r="G46" s="1" t="s">
        <x:v>72</x:v>
      </x:c>
      <x:c r="H46" s="1" t="s">
        <x:v>259</x:v>
      </x:c>
      <x:c r="J46" s="71"/>
    </x:row>
  </x:sheetData>
  <x:mergeCells count="4">
    <x:mergeCell ref="A1:K1"/>
    <x:mergeCell ref="A2:K2"/>
    <x:mergeCell ref="A16:K16"/>
    <x:mergeCell ref="A34:K34"/>
  </x:mergeCells>
  <x:dataValidations count="1">
    <x:dataValidation type="list" sqref="G36:G46">
      <x:formula1>"대기,진행중,완료,보류,확인필요"</x:formula1>
    </x:dataValidation>
  </x:dataValidation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tableParts count="2">
    <x:tablePart r:id="rId1"/>
    <x:tablePart r:id="rId2"/>
  </x:tableParts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K16"/>
  <x:sheetViews>
    <x:sheetView showGridLines="0" topLeftCell="A1" zoomScaleNormal="75" zoomScaleSheetLayoutView="100" workbookViewId="0">
      <x:selection activeCell="C4" activeCellId="0" sqref="C4:C4"/>
    </x:sheetView>
  </x:sheetViews>
  <x:sheetFormatPr defaultColWidth="8.72265625" defaultRowHeight="16.39999999999999857891"/>
  <x:cols>
    <x:col min="1" max="11" width="15" style="1" customWidth="1"/>
    <x:col min="12" max="16384" width="8.72265625" style="1"/>
  </x:cols>
  <x:sheetData>
    <x:row r="1" spans="1:11" ht="22.05000000000000071054">
      <x:c r="A1" s="73" t="s">
        <x:v>11</x:v>
      </x:c>
      <x:c r="B1" s="73"/>
      <x:c r="C1" s="73"/>
      <x:c r="D1" s="73"/>
      <x:c r="E1" s="74"/>
      <x:c r="F1" s="74"/>
      <x:c r="G1" s="74"/>
      <x:c r="H1" s="74"/>
      <x:c r="I1" s="74"/>
      <x:c r="J1" s="74"/>
      <x:c r="K1" s="74"/>
    </x:row>
    <x:row r="3" spans="1:11">
      <x:c r="A3" s="75" t="s">
        <x:v>92</x:v>
      </x:c>
      <x:c r="B3" s="75" t="s">
        <x:v>81</x:v>
      </x:c>
      <x:c r="C3" s="76"/>
      <x:c r="D3" s="77" t="s">
        <x:v>28</x:v>
      </x:c>
      <x:c r="E3" s="77" t="s">
        <x:v>81</x:v>
      </x:c>
      <x:c r="F3" s="76"/>
      <x:c r="G3" s="78" t="s">
        <x:v>253</x:v>
      </x:c>
      <x:c r="H3" s="78" t="s">
        <x:v>81</x:v>
      </x:c>
      <x:c r="I3" s="76"/>
      <x:c r="J3" s="79" t="s">
        <x:v>201</x:v>
      </x:c>
      <x:c r="K3" s="79" t="s">
        <x:v>81</x:v>
      </x:c>
    </x:row>
    <x:row r="4" spans="1:11">
      <x:c r="A4" s="76" t="s">
        <x:v>30</x:v>
      </x:c>
      <x:c r="B4" s="76" t="s">
        <x:v>261</x:v>
      </x:c>
      <x:c r="C4" s="76"/>
      <x:c r="D4" s="76" t="s">
        <x:v>31</x:v>
      </x:c>
      <x:c r="E4" s="76" t="s">
        <x:v>255</x:v>
      </x:c>
      <x:c r="F4" s="76"/>
      <x:c r="G4" s="76" t="s">
        <x:v>29</x:v>
      </x:c>
      <x:c r="H4" s="76" t="s">
        <x:v>261</x:v>
      </x:c>
      <x:c r="I4" s="76"/>
      <x:c r="J4" s="76" t="s">
        <x:v>33</x:v>
      </x:c>
      <x:c r="K4" s="76" t="s">
        <x:v>257</x:v>
      </x:c>
    </x:row>
    <x:row r="5" spans="1:11">
      <x:c r="A5" s="76" t="s">
        <x:v>95</x:v>
      </x:c>
      <x:c r="B5" s="76" t="s">
        <x:v>261</x:v>
      </x:c>
      <x:c r="C5" s="76"/>
      <x:c r="D5" s="76" t="s">
        <x:v>25</x:v>
      </x:c>
      <x:c r="E5" s="76" t="s">
        <x:v>255</x:v>
      </x:c>
      <x:c r="F5" s="76"/>
      <x:c r="G5" s="76" t="s">
        <x:v>260</x:v>
      </x:c>
      <x:c r="H5" s="76" t="s">
        <x:v>261</x:v>
      </x:c>
      <x:c r="I5" s="76"/>
      <x:c r="J5" s="76" t="s">
        <x:v>44</x:v>
      </x:c>
      <x:c r="K5" s="76" t="s">
        <x:v>257</x:v>
      </x:c>
    </x:row>
    <x:row r="6" spans="1:11">
      <x:c r="A6" s="76" t="s">
        <x:v>97</x:v>
      </x:c>
      <x:c r="B6" s="76" t="s">
        <x:v>261</x:v>
      </x:c>
      <x:c r="C6" s="76"/>
      <x:c r="D6" s="76" t="s">
        <x:v>33</x:v>
      </x:c>
      <x:c r="E6" s="76" t="s">
        <x:v>255</x:v>
      </x:c>
      <x:c r="F6" s="76"/>
      <x:c r="G6" s="76" t="s">
        <x:v>256</x:v>
      </x:c>
      <x:c r="H6" s="76" t="s">
        <x:v>261</x:v>
      </x:c>
      <x:c r="I6" s="76"/>
      <x:c r="J6" s="76" t="s">
        <x:v>84</x:v>
      </x:c>
      <x:c r="K6" s="76" t="s">
        <x:v>257</x:v>
      </x:c>
    </x:row>
    <x:row r="7" spans="1:11">
      <x:c r="A7" s="76" t="s">
        <x:v>93</x:v>
      </x:c>
      <x:c r="B7" s="76" t="s">
        <x:v>261</x:v>
      </x:c>
      <x:c r="C7" s="76"/>
      <x:c r="D7" s="76" t="s">
        <x:v>44</x:v>
      </x:c>
      <x:c r="E7" s="76" t="s">
        <x:v>255</x:v>
      </x:c>
      <x:c r="F7" s="76"/>
      <x:c r="G7" s="76" t="s">
        <x:v>204</x:v>
      </x:c>
      <x:c r="H7" s="76" t="s">
        <x:v>261</x:v>
      </x:c>
      <x:c r="I7" s="76"/>
      <x:c r="J7" s="76" t="s">
        <x:v>83</x:v>
      </x:c>
      <x:c r="K7" s="76" t="s">
        <x:v>257</x:v>
      </x:c>
    </x:row>
    <x:row r="8" spans="1:11">
      <x:c r="A8" s="76" t="s">
        <x:v>39</x:v>
      </x:c>
      <x:c r="B8" s="76" t="s">
        <x:v>261</x:v>
      </x:c>
      <x:c r="C8" s="76"/>
      <x:c r="D8" s="76" t="s">
        <x:v>45</x:v>
      </x:c>
      <x:c r="E8" s="76" t="s">
        <x:v>255</x:v>
      </x:c>
      <x:c r="F8" s="76"/>
      <x:c r="G8" s="76"/>
      <x:c r="H8" s="76"/>
      <x:c r="I8" s="76"/>
      <x:c r="J8" s="76" t="s">
        <x:v>254</x:v>
      </x:c>
      <x:c r="K8" s="76" t="s">
        <x:v>257</x:v>
      </x:c>
    </x:row>
    <x:row r="9" spans="1:11">
      <x:c r="A9" s="76" t="s">
        <x:v>109</x:v>
      </x:c>
      <x:c r="B9" s="76" t="s">
        <x:v>261</x:v>
      </x:c>
      <x:c r="C9" s="76"/>
      <x:c r="D9" s="76" t="s">
        <x:v>46</x:v>
      </x:c>
      <x:c r="E9" s="76" t="s">
        <x:v>255</x:v>
      </x:c>
      <x:c r="F9" s="76"/>
      <x:c r="G9" s="76"/>
      <x:c r="H9" s="76"/>
      <x:c r="I9" s="76"/>
      <x:c r="J9" s="76" t="s">
        <x:v>258</x:v>
      </x:c>
      <x:c r="K9" s="76" t="s">
        <x:v>257</x:v>
      </x:c>
    </x:row>
    <x:row r="10" spans="1:11">
      <x:c r="A10" s="76" t="s">
        <x:v>99</x:v>
      </x:c>
      <x:c r="B10" s="76" t="s">
        <x:v>261</x:v>
      </x:c>
      <x:c r="C10" s="76"/>
      <x:c r="D10" s="76"/>
      <x:c r="E10" s="76"/>
      <x:c r="F10" s="76"/>
      <x:c r="G10" s="76"/>
      <x:c r="H10" s="76"/>
      <x:c r="I10" s="76"/>
      <x:c r="J10" s="76" t="s">
        <x:v>41</x:v>
      </x:c>
      <x:c r="K10" s="76" t="s">
        <x:v>257</x:v>
      </x:c>
    </x:row>
    <x:row r="11" spans="1:11">
      <x:c r="A11" s="76" t="s">
        <x:v>42</x:v>
      </x:c>
      <x:c r="B11" s="76" t="s">
        <x:v>261</x:v>
      </x:c>
      <x:c r="C11" s="76"/>
      <x:c r="D11" s="76"/>
      <x:c r="E11" s="76"/>
      <x:c r="F11" s="76"/>
      <x:c r="G11" s="76"/>
      <x:c r="H11" s="76"/>
      <x:c r="I11" s="76"/>
      <x:c r="J11" s="76" t="s">
        <x:v>80</x:v>
      </x:c>
      <x:c r="K11" s="76" t="s">
        <x:v>257</x:v>
      </x:c>
    </x:row>
    <x:row r="12" spans="1:11">
      <x:c r="A12" s="76" t="s">
        <x:v>35</x:v>
      </x:c>
      <x:c r="B12" s="76" t="s">
        <x:v>261</x:v>
      </x:c>
      <x:c r="C12" s="76"/>
      <x:c r="D12" s="76"/>
      <x:c r="E12" s="76"/>
      <x:c r="F12" s="76"/>
      <x:c r="G12" s="76"/>
      <x:c r="H12" s="76"/>
      <x:c r="I12" s="76"/>
      <x:c r="J12" s="76" t="s">
        <x:v>82</x:v>
      </x:c>
      <x:c r="K12" s="76" t="s">
        <x:v>257</x:v>
      </x:c>
    </x:row>
    <x:row r="13" spans="1:11">
      <x:c r="A13" s="76" t="s">
        <x:v>41</x:v>
      </x:c>
      <x:c r="B13" s="76" t="s">
        <x:v>261</x:v>
      </x:c>
      <x:c r="C13" s="76"/>
      <x:c r="D13" s="76"/>
      <x:c r="E13" s="76"/>
      <x:c r="F13" s="76"/>
      <x:c r="G13" s="76"/>
      <x:c r="H13" s="76"/>
      <x:c r="I13" s="76"/>
      <x:c r="J13" s="76" t="s">
        <x:v>85</x:v>
      </x:c>
      <x:c r="K13" s="76" t="s">
        <x:v>257</x:v>
      </x:c>
    </x:row>
    <x:row r="14" spans="1:11">
      <x:c r="A14" s="76" t="s">
        <x:v>46</x:v>
      </x:c>
      <x:c r="B14" s="76" t="s">
        <x:v>261</x:v>
      </x:c>
      <x:c r="C14" s="76"/>
      <x:c r="D14" s="76"/>
      <x:c r="E14" s="76"/>
      <x:c r="F14" s="76"/>
      <x:c r="G14" s="76"/>
      <x:c r="H14" s="76"/>
      <x:c r="I14" s="76"/>
      <x:c r="J14" s="76" t="s">
        <x:v>53</x:v>
      </x:c>
      <x:c r="K14" s="76" t="s">
        <x:v>257</x:v>
      </x:c>
    </x:row>
    <x:row r="15" spans="1:11">
      <x:c r="A15" s="76" t="s">
        <x:v>43</x:v>
      </x:c>
      <x:c r="B15" s="76" t="s">
        <x:v>261</x:v>
      </x:c>
      <x:c r="C15" s="76"/>
      <x:c r="D15" s="76"/>
      <x:c r="E15" s="76"/>
      <x:c r="F15" s="76"/>
      <x:c r="G15" s="76"/>
      <x:c r="H15" s="76"/>
      <x:c r="I15" s="76"/>
      <x:c r="J15" s="76" t="s">
        <x:v>57</x:v>
      </x:c>
      <x:c r="K15" s="76" t="s">
        <x:v>257</x:v>
      </x:c>
    </x:row>
    <x:row r="16" spans="1:11">
      <x:c r="A16" s="76" t="s">
        <x:v>36</x:v>
      </x:c>
      <x:c r="B16" s="76" t="s">
        <x:v>261</x:v>
      </x:c>
      <x:c r="C16" s="76"/>
      <x:c r="D16" s="76"/>
      <x:c r="E16" s="76"/>
      <x:c r="F16" s="76"/>
      <x:c r="G16" s="76"/>
      <x:c r="H16" s="76"/>
      <x:c r="I16" s="76"/>
      <x:c r="J16" s="76"/>
      <x:c r="K16" s="76"/>
    </x:row>
  </x:sheetData>
  <x:mergeCells count="1">
    <x:mergeCell ref="A1:D1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대시보드</vt:lpstr>
      <vt:lpstr>프로젝트관리</vt:lpstr>
      <vt:lpstr>공정진행관리</vt:lpstr>
      <vt:lpstr>업무이력</vt:lpstr>
      <vt:lpstr>상생협력관리</vt:lpstr>
      <vt:lpstr>코드목록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atom5</cp:lastModifiedBy>
  <cp:revision>3</cp:revision>
  <dcterms:created xsi:type="dcterms:W3CDTF">2026-06-07T09:13:47.380</dcterms:created>
  <dcterms:modified xsi:type="dcterms:W3CDTF">2026-06-07T09:29:16.279</dcterms:modified>
  <cp:version>1200.0100.01</cp:version>
</cp:coreProperties>
</file>